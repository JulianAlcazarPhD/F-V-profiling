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5302" documentId="11_AC903186615CE3397B56A573A7836AFC4EBF1CDB" xr6:coauthVersionLast="47" xr6:coauthVersionMax="47" xr10:uidLastSave="{7ACD47BE-CD76-4F46-9C68-2ECD776D67CB}"/>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T121" i="1" l="1"/>
  <c r="AT122" i="1"/>
  <c r="Q7" i="1"/>
  <c r="D7" i="1"/>
  <c r="E7" i="1"/>
  <c r="F7" i="1"/>
  <c r="G7" i="1"/>
  <c r="H7" i="1"/>
  <c r="I7" i="1"/>
  <c r="J7" i="1"/>
  <c r="K7" i="1"/>
  <c r="L7" i="1"/>
  <c r="M7" i="1"/>
  <c r="N7" i="1"/>
  <c r="O7" i="1"/>
  <c r="P7" i="1"/>
  <c r="C7" i="1"/>
  <c r="Z64" i="1" l="1"/>
  <c r="AR9" i="1" l="1"/>
  <c r="Y17" i="1" l="1"/>
  <c r="AV185" i="1" l="1"/>
  <c r="AX177" i="1"/>
  <c r="AQ176" i="1"/>
  <c r="AX118" i="1"/>
  <c r="AR179" i="1"/>
  <c r="AR180" i="1"/>
  <c r="AR181" i="1"/>
  <c r="AQ180" i="1"/>
  <c r="AQ181" i="1"/>
  <c r="CU6" i="1" l="1"/>
  <c r="CJ6" i="1"/>
  <c r="CI6" i="1"/>
  <c r="CG6" i="1"/>
  <c r="CH6" i="1"/>
  <c r="CE6" i="1"/>
  <c r="CD6" i="1"/>
  <c r="CC6" i="1"/>
  <c r="CB6" i="1"/>
  <c r="CA6" i="1"/>
  <c r="G22" i="1"/>
  <c r="CT6" i="1"/>
  <c r="CF6" i="1" l="1"/>
  <c r="G14" i="1"/>
  <c r="I14" i="1"/>
  <c r="H14" i="1"/>
  <c r="C14" i="1"/>
  <c r="K14" i="1"/>
  <c r="D14" i="1"/>
  <c r="L14" i="1"/>
  <c r="J14" i="1"/>
  <c r="E14" i="1"/>
  <c r="M14" i="1"/>
  <c r="F14" i="1"/>
  <c r="N14" i="1"/>
  <c r="O14" i="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Q14" i="1" l="1"/>
  <c r="G21" i="1" l="1"/>
  <c r="BK9" i="1"/>
  <c r="D35" i="1" s="1"/>
  <c r="DW6" i="1" l="1"/>
  <c r="AR12" i="1"/>
  <c r="D61" i="1" s="1"/>
  <c r="P14" i="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BA12" i="1" s="1"/>
  <c r="AZ9" i="1"/>
  <c r="AZ12" i="1" s="1"/>
  <c r="BF9" i="1"/>
  <c r="BF12" i="1" s="1"/>
  <c r="BE9" i="1"/>
  <c r="BE12" i="1" s="1"/>
  <c r="AT9" i="1"/>
  <c r="AT12" i="1" s="1"/>
  <c r="BD9" i="1"/>
  <c r="BD12" i="1" s="1"/>
  <c r="BC9" i="1"/>
  <c r="BC12" i="1" s="1"/>
  <c r="BB9" i="1"/>
  <c r="BB12" i="1" s="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X12" i="1" s="1"/>
  <c r="AY9" i="1"/>
  <c r="AY12" i="1" s="1"/>
  <c r="AW9" i="1"/>
  <c r="AW12" i="1" s="1"/>
  <c r="AU9" i="1"/>
  <c r="AU12" i="1" s="1"/>
  <c r="AV9" i="1"/>
  <c r="AV12" i="1" s="1"/>
  <c r="DX6" i="1" l="1"/>
  <c r="AS12" i="1"/>
  <c r="E59" i="1" s="1"/>
  <c r="AR14" i="1"/>
  <c r="AR16" i="1" s="1"/>
  <c r="AW13" i="1"/>
  <c r="I61" i="1"/>
  <c r="I59" i="1"/>
  <c r="I60" i="1"/>
  <c r="AZ13" i="1"/>
  <c r="L59" i="1"/>
  <c r="L61" i="1"/>
  <c r="L60" i="1"/>
  <c r="BA13" i="1"/>
  <c r="M59" i="1"/>
  <c r="BB13" i="1"/>
  <c r="N61" i="1"/>
  <c r="N59" i="1"/>
  <c r="N60" i="1"/>
  <c r="BC13" i="1"/>
  <c r="O59" i="1"/>
  <c r="AV13" i="1"/>
  <c r="H61" i="1"/>
  <c r="H59" i="1"/>
  <c r="H60" i="1"/>
  <c r="AU13" i="1"/>
  <c r="G59" i="1"/>
  <c r="BD13" i="1"/>
  <c r="AT13" i="1"/>
  <c r="F59" i="1"/>
  <c r="AY13" i="1"/>
  <c r="K59" i="1"/>
  <c r="K61" i="1"/>
  <c r="K60" i="1"/>
  <c r="BE13" i="1"/>
  <c r="AX13" i="1"/>
  <c r="J59" i="1"/>
  <c r="J60" i="1"/>
  <c r="J61" i="1"/>
  <c r="BF13" i="1"/>
  <c r="BB10" i="1"/>
  <c r="BU10" i="1"/>
  <c r="N36" i="1" s="1"/>
  <c r="EV6" i="1" s="1"/>
  <c r="BY10" i="1"/>
  <c r="R36" i="1" s="1"/>
  <c r="EZ6" i="1" s="1"/>
  <c r="BF10" i="1"/>
  <c r="BF14" i="1" s="1"/>
  <c r="BV10" i="1"/>
  <c r="O36" i="1" s="1"/>
  <c r="EW6" i="1" s="1"/>
  <c r="BC10" i="1"/>
  <c r="O60" i="1" s="1"/>
  <c r="BW10" i="1"/>
  <c r="P36" i="1" s="1"/>
  <c r="EX6" i="1" s="1"/>
  <c r="BD10" i="1"/>
  <c r="BX10" i="1"/>
  <c r="Q36" i="1" s="1"/>
  <c r="EY6" i="1" s="1"/>
  <c r="BE10" i="1"/>
  <c r="AS10" i="1"/>
  <c r="AT10" i="1"/>
  <c r="BT10" i="1"/>
  <c r="M36" i="1" s="1"/>
  <c r="EU6" i="1" s="1"/>
  <c r="BA10" i="1"/>
  <c r="M60" i="1" s="1"/>
  <c r="BM10" i="1"/>
  <c r="F36" i="1" s="1"/>
  <c r="EN6" i="1" s="1"/>
  <c r="BO10" i="1"/>
  <c r="H36" i="1" s="1"/>
  <c r="EP6" i="1" s="1"/>
  <c r="BN10" i="1"/>
  <c r="G36" i="1" s="1"/>
  <c r="EO6" i="1" s="1"/>
  <c r="AR11" i="1"/>
  <c r="BK11" i="1"/>
  <c r="D37" i="1" s="1"/>
  <c r="BP10" i="1"/>
  <c r="I36" i="1" s="1"/>
  <c r="EQ6" i="1" s="1"/>
  <c r="BR10" i="1"/>
  <c r="K36" i="1" s="1"/>
  <c r="ES6" i="1" s="1"/>
  <c r="BQ10" i="1"/>
  <c r="J36" i="1" s="1"/>
  <c r="ER6" i="1" s="1"/>
  <c r="BS10" i="1"/>
  <c r="L36" i="1" s="1"/>
  <c r="ET6" i="1" s="1"/>
  <c r="AZ10" i="1"/>
  <c r="AV10" i="1"/>
  <c r="AU10" i="1"/>
  <c r="G60" i="1" s="1"/>
  <c r="AW10" i="1"/>
  <c r="AY10" i="1"/>
  <c r="AX10" i="1"/>
  <c r="AS13" i="1" l="1"/>
  <c r="E60" i="1"/>
  <c r="AR158" i="1"/>
  <c r="AR150" i="1"/>
  <c r="F60" i="1"/>
  <c r="P61" i="1"/>
  <c r="AH61" i="1"/>
  <c r="P59" i="1"/>
  <c r="AH60" i="1"/>
  <c r="P60" i="1"/>
  <c r="AH59" i="1"/>
  <c r="R61" i="1"/>
  <c r="AJ59" i="1"/>
  <c r="AJ61" i="1"/>
  <c r="R60" i="1"/>
  <c r="R59" i="1"/>
  <c r="AJ60" i="1"/>
  <c r="Q60" i="1"/>
  <c r="Q61" i="1"/>
  <c r="Q59" i="1"/>
  <c r="AS14" i="1"/>
  <c r="BE14" i="1"/>
  <c r="BD14" i="1"/>
  <c r="BA11" i="1"/>
  <c r="M61" i="1" s="1"/>
  <c r="BV11" i="1"/>
  <c r="O37" i="1" s="1"/>
  <c r="BR11" i="1"/>
  <c r="K37" i="1" s="1"/>
  <c r="AT14" i="1"/>
  <c r="BU11" i="1"/>
  <c r="N37" i="1" s="1"/>
  <c r="BY11" i="1"/>
  <c r="R37" i="1" s="1"/>
  <c r="AS11" i="1"/>
  <c r="E61" i="1" s="1"/>
  <c r="BK110" i="1"/>
  <c r="AR145" i="1"/>
  <c r="BK145" i="1"/>
  <c r="AR111" i="1"/>
  <c r="AR110" i="1"/>
  <c r="BK150" i="1"/>
  <c r="AR147" i="1"/>
  <c r="BK146" i="1"/>
  <c r="BK112" i="1"/>
  <c r="AR34" i="1"/>
  <c r="AR146" i="1"/>
  <c r="AR112" i="1"/>
  <c r="AR19" i="1"/>
  <c r="AR39" i="1" s="1"/>
  <c r="BK111" i="1"/>
  <c r="AR20" i="1"/>
  <c r="BK147" i="1"/>
  <c r="AR18" i="1"/>
  <c r="BF11" i="1"/>
  <c r="BX11" i="1"/>
  <c r="Q37" i="1" s="1"/>
  <c r="BE11" i="1"/>
  <c r="BW11" i="1"/>
  <c r="P37" i="1" s="1"/>
  <c r="BB14" i="1"/>
  <c r="BA14" i="1"/>
  <c r="BC14" i="1"/>
  <c r="BC11" i="1"/>
  <c r="O61" i="1" s="1"/>
  <c r="BT11" i="1"/>
  <c r="M37" i="1" s="1"/>
  <c r="BD11" i="1"/>
  <c r="BB11" i="1"/>
  <c r="AT11" i="1"/>
  <c r="BS11" i="1"/>
  <c r="L37" i="1" s="1"/>
  <c r="AZ11" i="1"/>
  <c r="AY11" i="1"/>
  <c r="BO11" i="1"/>
  <c r="H37" i="1" s="1"/>
  <c r="BP11" i="1"/>
  <c r="I37" i="1" s="1"/>
  <c r="AX11" i="1"/>
  <c r="BM11" i="1"/>
  <c r="F37" i="1" s="1"/>
  <c r="BN11" i="1"/>
  <c r="G37" i="1" s="1"/>
  <c r="BQ11" i="1"/>
  <c r="J37" i="1" s="1"/>
  <c r="AW11" i="1"/>
  <c r="BK36" i="1"/>
  <c r="BK18" i="1"/>
  <c r="AR36" i="1"/>
  <c r="BK35" i="1"/>
  <c r="AR35" i="1"/>
  <c r="BK34" i="1"/>
  <c r="BK20" i="1"/>
  <c r="BK19" i="1"/>
  <c r="AU14" i="1"/>
  <c r="AU11" i="1"/>
  <c r="AV11" i="1"/>
  <c r="G61" i="1" l="1"/>
  <c r="CL6" i="1"/>
  <c r="F61" i="1"/>
  <c r="AS16" i="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BL11" i="1" l="1"/>
  <c r="E37" i="1" s="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20"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BK8" i="1"/>
  <c r="AR26" i="1"/>
  <c r="BK30" i="1" s="1"/>
  <c r="BF8" i="1"/>
  <c r="BF44" i="1" s="1"/>
  <c r="BF45" i="1" s="1"/>
  <c r="BF68" i="1" s="1"/>
  <c r="BF26" i="1"/>
  <c r="BF40" i="1" s="1"/>
  <c r="BF41" i="1" s="1"/>
  <c r="BY8" i="1"/>
  <c r="BY26" i="1"/>
  <c r="DO6" i="1"/>
  <c r="DR6" i="1" s="1"/>
  <c r="DQ6" i="1"/>
  <c r="BX26" i="1"/>
  <c r="AU26" i="1"/>
  <c r="AU40" i="1" s="1"/>
  <c r="AU41" i="1" s="1"/>
  <c r="BQ26" i="1"/>
  <c r="BN26" i="1"/>
  <c r="AY8" i="1"/>
  <c r="AY44" i="1" s="1"/>
  <c r="AY45" i="1" s="1"/>
  <c r="BR50" i="1" s="1"/>
  <c r="AV8" i="1"/>
  <c r="AV44" i="1" s="1"/>
  <c r="AV45" i="1" s="1"/>
  <c r="BO49" i="1" s="1"/>
  <c r="BA8" i="1"/>
  <c r="BA44" i="1" s="1"/>
  <c r="BA45" i="1" s="1"/>
  <c r="BT50" i="1" s="1"/>
  <c r="BA26" i="1"/>
  <c r="BA40" i="1" s="1"/>
  <c r="BA41" i="1" s="1"/>
  <c r="AX8" i="1"/>
  <c r="AX44" i="1" s="1"/>
  <c r="AX45" i="1" s="1"/>
  <c r="BQ49" i="1" s="1"/>
  <c r="BS26" i="1"/>
  <c r="BU8" i="1"/>
  <c r="BW8" i="1"/>
  <c r="BM8" i="1"/>
  <c r="BP26" i="1"/>
  <c r="BT8" i="1"/>
  <c r="AW26" i="1"/>
  <c r="AW40" i="1" s="1"/>
  <c r="AW41" i="1" s="1"/>
  <c r="BC8" i="1"/>
  <c r="BC44" i="1" s="1"/>
  <c r="BC45" i="1" s="1"/>
  <c r="BV66" i="1" s="1"/>
  <c r="BP8" i="1"/>
  <c r="BO8" i="1"/>
  <c r="BR26" i="1"/>
  <c r="BD8" i="1"/>
  <c r="BD44" i="1" s="1"/>
  <c r="BD45" i="1" s="1"/>
  <c r="BD48" i="1" s="1"/>
  <c r="BC26" i="1"/>
  <c r="BC30" i="1" s="1"/>
  <c r="BU26" i="1"/>
  <c r="AT26" i="1"/>
  <c r="AT30" i="1" s="1"/>
  <c r="BB26" i="1"/>
  <c r="BB30" i="1" s="1"/>
  <c r="AV26" i="1"/>
  <c r="AV40" i="1" s="1"/>
  <c r="AV41" i="1" s="1"/>
  <c r="BL26" i="1"/>
  <c r="AY26" i="1"/>
  <c r="AY28" i="1" s="1"/>
  <c r="BE8" i="1"/>
  <c r="BE44" i="1" s="1"/>
  <c r="BE45" i="1" s="1"/>
  <c r="BE66" i="1" s="1"/>
  <c r="BV26" i="1"/>
  <c r="AT8" i="1"/>
  <c r="AT44" i="1" s="1"/>
  <c r="AT45" i="1" s="1"/>
  <c r="AT66" i="1" s="1"/>
  <c r="AZ8" i="1"/>
  <c r="AZ44" i="1" s="1"/>
  <c r="AZ45" i="1" s="1"/>
  <c r="AZ66" i="1" s="1"/>
  <c r="AX26" i="1"/>
  <c r="BQ28" i="1" s="1"/>
  <c r="BS8" i="1"/>
  <c r="BX8" i="1"/>
  <c r="BQ8" i="1"/>
  <c r="BN8" i="1"/>
  <c r="AS26" i="1"/>
  <c r="AS28" i="1" s="1"/>
  <c r="AZ26" i="1"/>
  <c r="AZ30" i="1" s="1"/>
  <c r="BV8" i="1"/>
  <c r="AU8" i="1"/>
  <c r="AU44" i="1" s="1"/>
  <c r="AU45" i="1" s="1"/>
  <c r="AU50" i="1" s="1"/>
  <c r="BD26" i="1"/>
  <c r="BD40" i="1" s="1"/>
  <c r="BD41" i="1" s="1"/>
  <c r="BL8" i="1"/>
  <c r="AW8" i="1"/>
  <c r="AW44" i="1" s="1"/>
  <c r="AW45" i="1" s="1"/>
  <c r="BP68" i="1" s="1"/>
  <c r="BO26" i="1"/>
  <c r="BR8" i="1"/>
  <c r="BB8" i="1"/>
  <c r="BB44" i="1" s="1"/>
  <c r="BB45" i="1" s="1"/>
  <c r="BB50" i="1" s="1"/>
  <c r="BW26" i="1"/>
  <c r="BM26" i="1"/>
  <c r="BT26" i="1"/>
  <c r="AS8" i="1"/>
  <c r="AS44" i="1" s="1"/>
  <c r="AS45" i="1" s="1"/>
  <c r="BL66" i="1" s="1"/>
  <c r="BE26" i="1"/>
  <c r="BE40" i="1" s="1"/>
  <c r="BE41" i="1" s="1"/>
  <c r="AR28" i="1"/>
  <c r="AR40" i="1"/>
  <c r="AR41" i="1" s="1"/>
  <c r="AR30" i="1" l="1"/>
  <c r="AR27" i="1"/>
  <c r="AR31" i="1" s="1"/>
  <c r="BK27" i="1"/>
  <c r="BK28" i="1"/>
  <c r="BK48" i="1"/>
  <c r="BK66" i="1"/>
  <c r="BK67" i="1"/>
  <c r="AR66" i="1"/>
  <c r="AR67" i="1"/>
  <c r="AR68" i="1"/>
  <c r="BK50" i="1"/>
  <c r="BK49" i="1"/>
  <c r="AR48" i="1"/>
  <c r="BK68" i="1"/>
  <c r="AR49" i="1"/>
  <c r="AR71" i="1" s="1"/>
  <c r="AR50" i="1"/>
  <c r="BF48" i="1"/>
  <c r="BY66" i="1"/>
  <c r="BY28" i="1"/>
  <c r="BF66" i="1"/>
  <c r="BY68" i="1"/>
  <c r="BF50" i="1"/>
  <c r="BY30" i="1"/>
  <c r="BY50" i="1"/>
  <c r="BY49" i="1"/>
  <c r="BY27" i="1"/>
  <c r="BF27" i="1"/>
  <c r="BF31" i="1" s="1"/>
  <c r="BF67" i="1"/>
  <c r="BF30" i="1"/>
  <c r="BF49" i="1"/>
  <c r="BF71" i="1" s="1"/>
  <c r="BF28" i="1"/>
  <c r="BY32" i="1" s="1"/>
  <c r="BY67" i="1"/>
  <c r="BY48" i="1"/>
  <c r="BR28" i="1"/>
  <c r="BR27" i="1"/>
  <c r="BW28" i="1"/>
  <c r="AZ28" i="1"/>
  <c r="AZ32" i="1" s="1"/>
  <c r="BP50" i="1"/>
  <c r="BS28" i="1"/>
  <c r="AZ27" i="1"/>
  <c r="BS31" i="1" s="1"/>
  <c r="BS27" i="1"/>
  <c r="BM50" i="1"/>
  <c r="BO66" i="1"/>
  <c r="AW67" i="1"/>
  <c r="BT49" i="1"/>
  <c r="BT67" i="1"/>
  <c r="BA66" i="1"/>
  <c r="BL27" i="1"/>
  <c r="AT48" i="1"/>
  <c r="BM68" i="1"/>
  <c r="BT48" i="1"/>
  <c r="BT66" i="1"/>
  <c r="BM67" i="1"/>
  <c r="AT67" i="1"/>
  <c r="BA68" i="1"/>
  <c r="AT68" i="1"/>
  <c r="BM48" i="1"/>
  <c r="BS30" i="1"/>
  <c r="BA49" i="1"/>
  <c r="BA71" i="1" s="1"/>
  <c r="AT49" i="1"/>
  <c r="AT71" i="1" s="1"/>
  <c r="BM66" i="1"/>
  <c r="BA48" i="1"/>
  <c r="BT68" i="1"/>
  <c r="BM49" i="1"/>
  <c r="BA50" i="1"/>
  <c r="AT50" i="1"/>
  <c r="BA67" i="1"/>
  <c r="BU48" i="1"/>
  <c r="AS49" i="1"/>
  <c r="AS71" i="1" s="1"/>
  <c r="AU28" i="1"/>
  <c r="AU32" i="1" s="1"/>
  <c r="AV28" i="1"/>
  <c r="BO32" i="1" s="1"/>
  <c r="AS27" i="1"/>
  <c r="BL31" i="1" s="1"/>
  <c r="AV66" i="1"/>
  <c r="BN30" i="1"/>
  <c r="BO67" i="1"/>
  <c r="BO28" i="1"/>
  <c r="BC28" i="1"/>
  <c r="BV32" i="1" s="1"/>
  <c r="BO50" i="1"/>
  <c r="BN28" i="1"/>
  <c r="BO68" i="1"/>
  <c r="AV30" i="1"/>
  <c r="AS30" i="1"/>
  <c r="DP6" i="1"/>
  <c r="AY49" i="1"/>
  <c r="AY71" i="1" s="1"/>
  <c r="AY50" i="1"/>
  <c r="BW50" i="1"/>
  <c r="BR48" i="1"/>
  <c r="BW49" i="1"/>
  <c r="BD68" i="1"/>
  <c r="AY68" i="1"/>
  <c r="BW68" i="1"/>
  <c r="BR49" i="1"/>
  <c r="BR66" i="1"/>
  <c r="AY67" i="1"/>
  <c r="AY66" i="1"/>
  <c r="BR67" i="1"/>
  <c r="AV50" i="1"/>
  <c r="BO48" i="1"/>
  <c r="AV27" i="1"/>
  <c r="AV31" i="1" s="1"/>
  <c r="AS40" i="1"/>
  <c r="AS41" i="1" s="1"/>
  <c r="BL30" i="1"/>
  <c r="BN27" i="1"/>
  <c r="AV67" i="1"/>
  <c r="AV49" i="1"/>
  <c r="AV71" i="1" s="1"/>
  <c r="BV30" i="1"/>
  <c r="BL28" i="1"/>
  <c r="AV68" i="1"/>
  <c r="BV28" i="1"/>
  <c r="AV48" i="1"/>
  <c r="BC27" i="1"/>
  <c r="BV31" i="1" s="1"/>
  <c r="AU27" i="1"/>
  <c r="AU31" i="1" s="1"/>
  <c r="BO27" i="1"/>
  <c r="BV27" i="1"/>
  <c r="BD30" i="1"/>
  <c r="AW27" i="1"/>
  <c r="AW31" i="1" s="1"/>
  <c r="BP49" i="1"/>
  <c r="BD28" i="1"/>
  <c r="BD32" i="1" s="1"/>
  <c r="AW68" i="1"/>
  <c r="BW27" i="1"/>
  <c r="AU30" i="1"/>
  <c r="BD27" i="1"/>
  <c r="BW31" i="1" s="1"/>
  <c r="BO30" i="1"/>
  <c r="BE27" i="1"/>
  <c r="BX31" i="1" s="1"/>
  <c r="AW48" i="1"/>
  <c r="BW30" i="1"/>
  <c r="AS50" i="1"/>
  <c r="AS66" i="1"/>
  <c r="BL68" i="1"/>
  <c r="BS48" i="1"/>
  <c r="BS66" i="1"/>
  <c r="BC40" i="1"/>
  <c r="BC41" i="1" s="1"/>
  <c r="BM27" i="1"/>
  <c r="BA27" i="1"/>
  <c r="BT31" i="1" s="1"/>
  <c r="BE48" i="1"/>
  <c r="BP27" i="1"/>
  <c r="BA28" i="1"/>
  <c r="BA32" i="1" s="1"/>
  <c r="BX68" i="1"/>
  <c r="AZ40" i="1"/>
  <c r="AZ41" i="1" s="1"/>
  <c r="AZ49" i="1"/>
  <c r="AZ71" i="1" s="1"/>
  <c r="BT27" i="1"/>
  <c r="AW28" i="1"/>
  <c r="BP32" i="1" s="1"/>
  <c r="AW49" i="1"/>
  <c r="AW71" i="1" s="1"/>
  <c r="AT28" i="1"/>
  <c r="BM32" i="1" s="1"/>
  <c r="BP30" i="1"/>
  <c r="BP66" i="1"/>
  <c r="AY30" i="1"/>
  <c r="BM30" i="1"/>
  <c r="BM28" i="1"/>
  <c r="BP67" i="1"/>
  <c r="BR30" i="1"/>
  <c r="BX27" i="1"/>
  <c r="AY40" i="1"/>
  <c r="AY41" i="1" s="1"/>
  <c r="AT27" i="1"/>
  <c r="BM31" i="1" s="1"/>
  <c r="BP48" i="1"/>
  <c r="AW50" i="1"/>
  <c r="AY27" i="1"/>
  <c r="AY31" i="1" s="1"/>
  <c r="BS67" i="1"/>
  <c r="BT30" i="1"/>
  <c r="BE28" i="1"/>
  <c r="BX32" i="1" s="1"/>
  <c r="BE50" i="1"/>
  <c r="BP28" i="1"/>
  <c r="AW66" i="1"/>
  <c r="AZ50" i="1"/>
  <c r="BT28" i="1"/>
  <c r="BX28" i="1"/>
  <c r="BS49" i="1"/>
  <c r="AZ48" i="1"/>
  <c r="AZ68" i="1"/>
  <c r="BS50" i="1"/>
  <c r="BA30" i="1"/>
  <c r="AT40" i="1"/>
  <c r="AT41" i="1" s="1"/>
  <c r="AW30" i="1"/>
  <c r="AZ67" i="1"/>
  <c r="BS68" i="1"/>
  <c r="AS48" i="1"/>
  <c r="BB68" i="1"/>
  <c r="AX48" i="1"/>
  <c r="BB66" i="1"/>
  <c r="BB48" i="1"/>
  <c r="AX27" i="1"/>
  <c r="AX31" i="1" s="1"/>
  <c r="BN48" i="1"/>
  <c r="BC49" i="1"/>
  <c r="BC71" i="1" s="1"/>
  <c r="BB67" i="1"/>
  <c r="BB49" i="1"/>
  <c r="BB71" i="1" s="1"/>
  <c r="BU50" i="1"/>
  <c r="BN49" i="1"/>
  <c r="AX67" i="1"/>
  <c r="BC48" i="1"/>
  <c r="BQ48" i="1"/>
  <c r="AX40" i="1"/>
  <c r="AX41" i="1" s="1"/>
  <c r="AU67" i="1"/>
  <c r="AX66" i="1"/>
  <c r="AU49" i="1"/>
  <c r="AX50" i="1"/>
  <c r="BB40" i="1"/>
  <c r="BB41" i="1" s="1"/>
  <c r="AU48" i="1"/>
  <c r="BQ27" i="1"/>
  <c r="AX68" i="1"/>
  <c r="BU30" i="1"/>
  <c r="BV67" i="1"/>
  <c r="BU67" i="1"/>
  <c r="BE67" i="1"/>
  <c r="BN68" i="1"/>
  <c r="BN50" i="1"/>
  <c r="BQ30" i="1"/>
  <c r="AX49" i="1"/>
  <c r="AX71" i="1" s="1"/>
  <c r="BB27" i="1"/>
  <c r="BU31" i="1" s="1"/>
  <c r="BV49" i="1"/>
  <c r="BU49" i="1"/>
  <c r="BU68" i="1"/>
  <c r="AU66" i="1"/>
  <c r="BN66" i="1"/>
  <c r="AX28" i="1"/>
  <c r="BQ32" i="1" s="1"/>
  <c r="BQ67" i="1"/>
  <c r="BQ50" i="1"/>
  <c r="BV48" i="1"/>
  <c r="BU66" i="1"/>
  <c r="BN67" i="1"/>
  <c r="BL48" i="1"/>
  <c r="BR68" i="1"/>
  <c r="BQ66" i="1"/>
  <c r="BQ68" i="1"/>
  <c r="BD67" i="1"/>
  <c r="BW66" i="1"/>
  <c r="BC68" i="1"/>
  <c r="BX66" i="1"/>
  <c r="BX49" i="1"/>
  <c r="AX30" i="1"/>
  <c r="BL67" i="1"/>
  <c r="BB28" i="1"/>
  <c r="BB32" i="1" s="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X30" i="1"/>
  <c r="BE30" i="1"/>
  <c r="AR32" i="1"/>
  <c r="BK32" i="1"/>
  <c r="AY32" i="1"/>
  <c r="BR32" i="1"/>
  <c r="AS32" i="1"/>
  <c r="BL32" i="1"/>
  <c r="BK31" i="1" l="1"/>
  <c r="BF32" i="1"/>
  <c r="AV32" i="1"/>
  <c r="BY31" i="1"/>
  <c r="BS32" i="1"/>
  <c r="BN31" i="1"/>
  <c r="BW32" i="1"/>
  <c r="BC32" i="1"/>
  <c r="AS31" i="1"/>
  <c r="AT32" i="1"/>
  <c r="AZ31" i="1"/>
  <c r="BE32" i="1"/>
  <c r="BB31" i="1"/>
  <c r="BN32" i="1"/>
  <c r="BC31" i="1"/>
  <c r="BR31" i="1"/>
  <c r="BP31" i="1"/>
  <c r="BD31" i="1"/>
  <c r="BO31" i="1"/>
  <c r="BQ31" i="1"/>
  <c r="BE31" i="1"/>
  <c r="BU32" i="1"/>
  <c r="BA31" i="1"/>
  <c r="AX32" i="1"/>
  <c r="AW32" i="1"/>
  <c r="BT32" i="1"/>
  <c r="AT31" i="1"/>
  <c r="AV24" i="1"/>
  <c r="DV6" i="1" s="1"/>
  <c r="AR52" i="1"/>
  <c r="AT24" i="1"/>
  <c r="DU6" i="1" s="1"/>
  <c r="AR24" i="1"/>
  <c r="DT6" i="1" s="1"/>
  <c r="AU71" i="1"/>
  <c r="AR53" i="1"/>
  <c r="AR57" i="1" l="1"/>
  <c r="AR59" i="1" s="1"/>
  <c r="BK57" i="1"/>
  <c r="BY57" i="1"/>
  <c r="BF57" i="1"/>
  <c r="BY61" i="1" s="1"/>
  <c r="BB57" i="1"/>
  <c r="BB72" i="1" s="1"/>
  <c r="BB73" i="1" s="1"/>
  <c r="BV57" i="1"/>
  <c r="BD57" i="1"/>
  <c r="BD58" i="1" s="1"/>
  <c r="AV57" i="1"/>
  <c r="AV59" i="1" s="1"/>
  <c r="BU57" i="1"/>
  <c r="AX57" i="1"/>
  <c r="BQ59" i="1" s="1"/>
  <c r="BT57" i="1"/>
  <c r="BL57" i="1"/>
  <c r="BE57" i="1"/>
  <c r="BX59" i="1" s="1"/>
  <c r="BM57" i="1"/>
  <c r="AS57" i="1"/>
  <c r="AS59" i="1" s="1"/>
  <c r="BN57" i="1"/>
  <c r="BP57" i="1"/>
  <c r="AT57" i="1"/>
  <c r="AT72" i="1" s="1"/>
  <c r="AT73" i="1" s="1"/>
  <c r="BX57" i="1"/>
  <c r="BQ57" i="1"/>
  <c r="BR57" i="1"/>
  <c r="AU57" i="1"/>
  <c r="AU72" i="1" s="1"/>
  <c r="AU73" i="1" s="1"/>
  <c r="AY57" i="1"/>
  <c r="BR59" i="1" s="1"/>
  <c r="BA57" i="1"/>
  <c r="BA72" i="1" s="1"/>
  <c r="BA73" i="1" s="1"/>
  <c r="AW57" i="1"/>
  <c r="AW72" i="1" s="1"/>
  <c r="AW73" i="1" s="1"/>
  <c r="BS57" i="1"/>
  <c r="BW57" i="1"/>
  <c r="BO57" i="1"/>
  <c r="AZ57" i="1"/>
  <c r="AZ61" i="1" s="1"/>
  <c r="BC57" i="1"/>
  <c r="BC72" i="1" s="1"/>
  <c r="BC73" i="1" s="1"/>
  <c r="BK76" i="1"/>
  <c r="AS76" i="1"/>
  <c r="AR76" i="1" l="1"/>
  <c r="AR78" i="1" s="1"/>
  <c r="AR79" i="1" s="1"/>
  <c r="AR72" i="1"/>
  <c r="AR73" i="1" s="1"/>
  <c r="AR61" i="1"/>
  <c r="AR58" i="1"/>
  <c r="AR62" i="1" s="1"/>
  <c r="BK59" i="1"/>
  <c r="BK61"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Y62" i="1" s="1"/>
  <c r="BF59" i="1"/>
  <c r="BY63" i="1" s="1"/>
  <c r="BY59" i="1"/>
  <c r="BF61" i="1"/>
  <c r="AW59" i="1"/>
  <c r="AW63" i="1" s="1"/>
  <c r="BP61" i="1"/>
  <c r="BP58" i="1"/>
  <c r="BP59" i="1"/>
  <c r="BP76" i="1"/>
  <c r="AX58" i="1"/>
  <c r="BQ62" i="1" s="1"/>
  <c r="BQ61" i="1"/>
  <c r="BQ58" i="1"/>
  <c r="AX76" i="1"/>
  <c r="AX78" i="1" s="1"/>
  <c r="AX79" i="1" s="1"/>
  <c r="AV61" i="1"/>
  <c r="AW61" i="1"/>
  <c r="AT58" i="1"/>
  <c r="BM62" i="1" s="1"/>
  <c r="AX72" i="1"/>
  <c r="AX73" i="1" s="1"/>
  <c r="BQ76" i="1"/>
  <c r="AT59" i="1"/>
  <c r="AT63" i="1" s="1"/>
  <c r="BL76" i="1"/>
  <c r="AS72" i="1"/>
  <c r="AS73" i="1" s="1"/>
  <c r="BM61" i="1"/>
  <c r="AT61" i="1"/>
  <c r="AX59" i="1"/>
  <c r="AX63" i="1" s="1"/>
  <c r="BL59" i="1"/>
  <c r="BX58" i="1"/>
  <c r="BM58" i="1"/>
  <c r="AX61" i="1"/>
  <c r="BM59" i="1"/>
  <c r="AW58" i="1"/>
  <c r="BP62" i="1" s="1"/>
  <c r="BT58" i="1"/>
  <c r="BA61" i="1"/>
  <c r="BO61" i="1"/>
  <c r="BN58" i="1"/>
  <c r="BT61" i="1"/>
  <c r="BE61" i="1"/>
  <c r="BE58" i="1"/>
  <c r="BX62" i="1" s="1"/>
  <c r="BA58" i="1"/>
  <c r="BA62" i="1" s="1"/>
  <c r="BB61" i="1"/>
  <c r="BS61" i="1"/>
  <c r="BU76" i="1"/>
  <c r="BE72" i="1"/>
  <c r="BE73" i="1" s="1"/>
  <c r="BS76" i="1"/>
  <c r="BB76" i="1"/>
  <c r="BB78" i="1" s="1"/>
  <c r="BB79" i="1" s="1"/>
  <c r="BE76" i="1"/>
  <c r="BX77" i="1" s="1"/>
  <c r="AV58" i="1"/>
  <c r="AV62" i="1" s="1"/>
  <c r="BO59" i="1"/>
  <c r="BT59" i="1"/>
  <c r="BA76" i="1"/>
  <c r="BA77" i="1" s="1"/>
  <c r="BS58" i="1"/>
  <c r="BV58" i="1"/>
  <c r="AZ72" i="1"/>
  <c r="AZ73" i="1" s="1"/>
  <c r="BN59" i="1"/>
  <c r="AU58" i="1"/>
  <c r="BN62" i="1" s="1"/>
  <c r="BX76" i="1"/>
  <c r="AY58" i="1"/>
  <c r="AY62" i="1" s="1"/>
  <c r="BW58" i="1"/>
  <c r="AY59" i="1"/>
  <c r="AY63" i="1" s="1"/>
  <c r="BD61" i="1"/>
  <c r="BV76" i="1"/>
  <c r="AS58" i="1"/>
  <c r="AS62" i="1" s="1"/>
  <c r="BC61" i="1"/>
  <c r="BW61" i="1"/>
  <c r="AS61" i="1"/>
  <c r="BL61" i="1"/>
  <c r="AU59" i="1"/>
  <c r="BN63" i="1" s="1"/>
  <c r="BV61" i="1"/>
  <c r="BL58" i="1"/>
  <c r="AY61" i="1"/>
  <c r="BT76" i="1"/>
  <c r="BO58" i="1"/>
  <c r="BN61" i="1"/>
  <c r="BC58" i="1"/>
  <c r="BV62" i="1" s="1"/>
  <c r="BA59" i="1"/>
  <c r="BT63" i="1" s="1"/>
  <c r="AU61" i="1"/>
  <c r="BV59" i="1"/>
  <c r="BC76" i="1"/>
  <c r="BC78" i="1" s="1"/>
  <c r="BC79" i="1" s="1"/>
  <c r="BC59" i="1"/>
  <c r="BV63" i="1" s="1"/>
  <c r="BR58" i="1"/>
  <c r="AZ76" i="1"/>
  <c r="AZ78" i="1" s="1"/>
  <c r="AZ79" i="1" s="1"/>
  <c r="BW59" i="1"/>
  <c r="BB59" i="1"/>
  <c r="BU63" i="1" s="1"/>
  <c r="BR61" i="1"/>
  <c r="AY76" i="1"/>
  <c r="AY78" i="1" s="1"/>
  <c r="AY79" i="1" s="1"/>
  <c r="AZ59" i="1"/>
  <c r="BS63" i="1" s="1"/>
  <c r="BD59" i="1"/>
  <c r="BW63" i="1" s="1"/>
  <c r="BU58" i="1"/>
  <c r="BD72" i="1"/>
  <c r="BD73" i="1" s="1"/>
  <c r="BR76" i="1"/>
  <c r="AZ58" i="1"/>
  <c r="BS62" i="1" s="1"/>
  <c r="BU59" i="1"/>
  <c r="BW76" i="1"/>
  <c r="BX61" i="1"/>
  <c r="BS59" i="1"/>
  <c r="AY72" i="1"/>
  <c r="AY73" i="1" s="1"/>
  <c r="BB58" i="1"/>
  <c r="BU62" i="1" s="1"/>
  <c r="BD76" i="1"/>
  <c r="BD77" i="1" s="1"/>
  <c r="BE59" i="1"/>
  <c r="BE63" i="1" s="1"/>
  <c r="BU61" i="1"/>
  <c r="BK77" i="1"/>
  <c r="AR77" i="1"/>
  <c r="AR63" i="1"/>
  <c r="BK63" i="1"/>
  <c r="AS78" i="1"/>
  <c r="AS79" i="1" s="1"/>
  <c r="BL77" i="1"/>
  <c r="AS77" i="1"/>
  <c r="BW62" i="1"/>
  <c r="BD62" i="1"/>
  <c r="BO63" i="1"/>
  <c r="AV63" i="1"/>
  <c r="AS63" i="1"/>
  <c r="BL63" i="1"/>
  <c r="BK62" i="1" l="1"/>
  <c r="AU77" i="1"/>
  <c r="AT54" i="1"/>
  <c r="BN77" i="1"/>
  <c r="BM77" i="1"/>
  <c r="AT77" i="1"/>
  <c r="AW77" i="1"/>
  <c r="AV77" i="1"/>
  <c r="BO77" i="1"/>
  <c r="AW78" i="1"/>
  <c r="AW79" i="1" s="1"/>
  <c r="AW100" i="1" s="1"/>
  <c r="BY77" i="1"/>
  <c r="BM63" i="1"/>
  <c r="BF77" i="1"/>
  <c r="BS77" i="1"/>
  <c r="BF62" i="1"/>
  <c r="BF63" i="1"/>
  <c r="AT62" i="1"/>
  <c r="AX62" i="1"/>
  <c r="BP63" i="1"/>
  <c r="BR62" i="1"/>
  <c r="BQ63" i="1"/>
  <c r="BQ77" i="1"/>
  <c r="AX77" i="1"/>
  <c r="BU77" i="1"/>
  <c r="BT77" i="1"/>
  <c r="AW62" i="1"/>
  <c r="BA78" i="1"/>
  <c r="BA79" i="1" s="1"/>
  <c r="BA100" i="1" s="1"/>
  <c r="BE62" i="1"/>
  <c r="BE77" i="1"/>
  <c r="BL62" i="1"/>
  <c r="BE78" i="1"/>
  <c r="BE79" i="1" s="1"/>
  <c r="BX102" i="1" s="1"/>
  <c r="AU62" i="1"/>
  <c r="BO62" i="1"/>
  <c r="BB77" i="1"/>
  <c r="BT62" i="1"/>
  <c r="BA63" i="1"/>
  <c r="BR63" i="1"/>
  <c r="AU63" i="1"/>
  <c r="AZ77" i="1"/>
  <c r="AZ62" i="1"/>
  <c r="BB63" i="1"/>
  <c r="BX63" i="1"/>
  <c r="BW77" i="1"/>
  <c r="BB62" i="1"/>
  <c r="BD78" i="1"/>
  <c r="BD79" i="1" s="1"/>
  <c r="BD100" i="1" s="1"/>
  <c r="BC62" i="1"/>
  <c r="BV77" i="1"/>
  <c r="AZ63" i="1"/>
  <c r="BD63" i="1"/>
  <c r="BC77" i="1"/>
  <c r="BC63"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AR91" i="1" l="1"/>
  <c r="BK95" i="1" s="1"/>
  <c r="BK91" i="1"/>
  <c r="AR118" i="1"/>
  <c r="AR119" i="1"/>
  <c r="AR178" i="1" s="1"/>
  <c r="AQ119" i="1"/>
  <c r="AQ178" i="1" s="1"/>
  <c r="AS118" i="1"/>
  <c r="AT118" i="1" s="1"/>
  <c r="AS116" i="1"/>
  <c r="AT116" i="1" s="1"/>
  <c r="AS119" i="1"/>
  <c r="AT119" i="1" s="1"/>
  <c r="AS120" i="1"/>
  <c r="AT120" i="1" s="1"/>
  <c r="BF91" i="1"/>
  <c r="BF106" i="1" s="1"/>
  <c r="BF107" i="1" s="1"/>
  <c r="BY91" i="1"/>
  <c r="BS91" i="1"/>
  <c r="BE91" i="1"/>
  <c r="BE106" i="1" s="1"/>
  <c r="BE107" i="1" s="1"/>
  <c r="BQ91" i="1"/>
  <c r="AW91" i="1"/>
  <c r="AW106" i="1" s="1"/>
  <c r="AW107" i="1" s="1"/>
  <c r="AV91" i="1"/>
  <c r="AV106" i="1" s="1"/>
  <c r="AV107" i="1" s="1"/>
  <c r="AT91" i="1"/>
  <c r="AT106" i="1" s="1"/>
  <c r="AT107" i="1" s="1"/>
  <c r="BW91" i="1"/>
  <c r="BT91" i="1"/>
  <c r="AZ91" i="1"/>
  <c r="AZ106" i="1" s="1"/>
  <c r="AZ107" i="1" s="1"/>
  <c r="AX91" i="1"/>
  <c r="AX106" i="1" s="1"/>
  <c r="AX107" i="1" s="1"/>
  <c r="AS91" i="1"/>
  <c r="AS106" i="1" s="1"/>
  <c r="AS107" i="1" s="1"/>
  <c r="BC91" i="1"/>
  <c r="BC106" i="1" s="1"/>
  <c r="BC107" i="1" s="1"/>
  <c r="BA91" i="1"/>
  <c r="BA106" i="1" s="1"/>
  <c r="BA107" i="1" s="1"/>
  <c r="BP91" i="1"/>
  <c r="AU91" i="1"/>
  <c r="AU106" i="1" s="1"/>
  <c r="AU107" i="1" s="1"/>
  <c r="BR91" i="1"/>
  <c r="BV91" i="1"/>
  <c r="BL91" i="1"/>
  <c r="AY91" i="1"/>
  <c r="AY106" i="1" s="1"/>
  <c r="AY107" i="1" s="1"/>
  <c r="BB91" i="1"/>
  <c r="BB106" i="1" s="1"/>
  <c r="BB107" i="1" s="1"/>
  <c r="BU91" i="1"/>
  <c r="BN91" i="1"/>
  <c r="BM91" i="1"/>
  <c r="BO91" i="1"/>
  <c r="BD91" i="1"/>
  <c r="BD106" i="1" s="1"/>
  <c r="BD107" i="1" s="1"/>
  <c r="BX91" i="1"/>
  <c r="AR154" i="1" l="1"/>
  <c r="AR156" i="1" s="1"/>
  <c r="AR106" i="1"/>
  <c r="AR107" i="1" s="1"/>
  <c r="AR95" i="1"/>
  <c r="BK92" i="1"/>
  <c r="AR92" i="1"/>
  <c r="AR96" i="1" s="1"/>
  <c r="BK93" i="1"/>
  <c r="AR93" i="1"/>
  <c r="AR97" i="1" s="1"/>
  <c r="AR177" i="1"/>
  <c r="AQ177" i="1"/>
  <c r="AQ120" i="1"/>
  <c r="AQ179" i="1" s="1"/>
  <c r="BY93" i="1"/>
  <c r="BY95" i="1"/>
  <c r="BY92" i="1"/>
  <c r="BD95" i="1"/>
  <c r="BD92" i="1"/>
  <c r="BD96" i="1" s="1"/>
  <c r="BF95" i="1"/>
  <c r="BF93" i="1"/>
  <c r="BY97" i="1" s="1"/>
  <c r="BF92" i="1"/>
  <c r="BY96" i="1" s="1"/>
  <c r="BW92" i="1"/>
  <c r="BW95" i="1"/>
  <c r="BM92" i="1"/>
  <c r="AT93" i="1"/>
  <c r="BM97" i="1" s="1"/>
  <c r="AT95" i="1"/>
  <c r="BD93" i="1"/>
  <c r="BD97" i="1" s="1"/>
  <c r="AT92" i="1"/>
  <c r="AT96" i="1" s="1"/>
  <c r="BM95" i="1"/>
  <c r="BM93" i="1"/>
  <c r="BS95" i="1"/>
  <c r="BE92" i="1"/>
  <c r="BE96" i="1" s="1"/>
  <c r="BX92" i="1"/>
  <c r="BX95" i="1"/>
  <c r="BE93" i="1"/>
  <c r="BX97" i="1" s="1"/>
  <c r="BE95" i="1"/>
  <c r="BX93" i="1"/>
  <c r="BW93" i="1"/>
  <c r="AZ93" i="1"/>
  <c r="AZ97" i="1" s="1"/>
  <c r="AZ92" i="1"/>
  <c r="AZ96" i="1" s="1"/>
  <c r="BS92" i="1"/>
  <c r="BS93" i="1"/>
  <c r="AZ95" i="1"/>
  <c r="BP93" i="1"/>
  <c r="BQ93" i="1"/>
  <c r="BV92" i="1"/>
  <c r="AS92" i="1"/>
  <c r="AS96" i="1" s="1"/>
  <c r="BC93" i="1"/>
  <c r="BC97" i="1" s="1"/>
  <c r="AY95" i="1"/>
  <c r="AW92" i="1"/>
  <c r="BP96" i="1" s="1"/>
  <c r="AW93" i="1"/>
  <c r="BP97" i="1" s="1"/>
  <c r="BB95" i="1"/>
  <c r="AS93" i="1"/>
  <c r="AS97" i="1" s="1"/>
  <c r="AW95" i="1"/>
  <c r="BL93" i="1"/>
  <c r="BL95" i="1"/>
  <c r="BP92" i="1"/>
  <c r="AS95" i="1"/>
  <c r="BP95" i="1"/>
  <c r="BL92" i="1"/>
  <c r="BQ92" i="1"/>
  <c r="BB92" i="1"/>
  <c r="BB96" i="1" s="1"/>
  <c r="BT95" i="1"/>
  <c r="BT93" i="1"/>
  <c r="BR92" i="1"/>
  <c r="BB93" i="1"/>
  <c r="BB97" i="1" s="1"/>
  <c r="BA92" i="1"/>
  <c r="BT96" i="1" s="1"/>
  <c r="BU93" i="1"/>
  <c r="BU92" i="1"/>
  <c r="BT92" i="1"/>
  <c r="BA93" i="1"/>
  <c r="BA97" i="1" s="1"/>
  <c r="BO95" i="1"/>
  <c r="BU95" i="1"/>
  <c r="BA95" i="1"/>
  <c r="AX92" i="1"/>
  <c r="BQ96" i="1" s="1"/>
  <c r="AX93" i="1"/>
  <c r="BQ97" i="1" s="1"/>
  <c r="BQ95" i="1"/>
  <c r="AX95" i="1"/>
  <c r="BO92" i="1"/>
  <c r="BO93" i="1"/>
  <c r="AV93" i="1"/>
  <c r="AV97" i="1" s="1"/>
  <c r="AV92" i="1"/>
  <c r="AV96" i="1" s="1"/>
  <c r="AV95" i="1"/>
  <c r="BN92" i="1"/>
  <c r="AV88" i="1"/>
  <c r="AU93" i="1"/>
  <c r="BN97" i="1" s="1"/>
  <c r="BN95" i="1"/>
  <c r="BR93" i="1"/>
  <c r="BV95" i="1"/>
  <c r="AY92" i="1"/>
  <c r="AY96" i="1" s="1"/>
  <c r="BN93" i="1"/>
  <c r="BR95" i="1"/>
  <c r="BC92" i="1"/>
  <c r="BC96" i="1" s="1"/>
  <c r="AU92" i="1"/>
  <c r="BN96" i="1" s="1"/>
  <c r="AY93" i="1"/>
  <c r="AY97" i="1" s="1"/>
  <c r="BV93" i="1"/>
  <c r="AU95" i="1"/>
  <c r="BC95" i="1"/>
  <c r="BK96" i="1"/>
  <c r="AR88" i="1" l="1"/>
  <c r="AT88" i="1"/>
  <c r="BK97" i="1"/>
  <c r="BS97" i="1"/>
  <c r="AT97" i="1"/>
  <c r="BS96" i="1"/>
  <c r="BW96" i="1"/>
  <c r="BL97" i="1"/>
  <c r="BX96" i="1"/>
  <c r="BW97" i="1"/>
  <c r="BF97" i="1"/>
  <c r="BF96" i="1"/>
  <c r="BL96" i="1"/>
  <c r="BE97" i="1"/>
  <c r="BU96" i="1"/>
  <c r="BM96" i="1"/>
  <c r="AX97" i="1"/>
  <c r="BR96" i="1"/>
  <c r="BV96" i="1"/>
  <c r="AW96" i="1"/>
  <c r="BV97" i="1"/>
  <c r="BO96" i="1"/>
  <c r="BA96" i="1"/>
  <c r="AX96" i="1"/>
  <c r="AW97" i="1"/>
  <c r="BU97" i="1"/>
  <c r="AU96" i="1"/>
  <c r="BR97" i="1"/>
  <c r="BT97" i="1"/>
  <c r="BO97" i="1"/>
  <c r="AU97"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79" i="1" s="1"/>
  <c r="AT133" i="1"/>
  <c r="AR151" i="1" l="1"/>
  <c r="AR152" i="1" s="1"/>
  <c r="AR163" i="1"/>
  <c r="BK151" i="1"/>
  <c r="BK152" i="1" s="1"/>
  <c r="BK137" i="1"/>
  <c r="AR138" i="1"/>
  <c r="BK138" i="1"/>
  <c r="AR137" i="1"/>
  <c r="AR140" i="1"/>
  <c r="AR159" i="1" s="1"/>
  <c r="AR160" i="1" s="1"/>
  <c r="BK140" i="1"/>
  <c r="AA175" i="1"/>
  <c r="BD155" i="1"/>
  <c r="BX136" i="1"/>
  <c r="BF136" i="1"/>
  <c r="BF138" i="1" s="1"/>
  <c r="BY136" i="1"/>
  <c r="U152" i="1"/>
  <c r="V152" i="1" s="1"/>
  <c r="BE136" i="1"/>
  <c r="BX151" i="1" s="1"/>
  <c r="BX152" i="1" s="1"/>
  <c r="BF155" i="1"/>
  <c r="AS178" i="1"/>
  <c r="AT178" i="1" s="1"/>
  <c r="AS181" i="1"/>
  <c r="AT181" i="1" s="1"/>
  <c r="AS180" i="1"/>
  <c r="AT180" i="1" s="1"/>
  <c r="AS177" i="1"/>
  <c r="AT177" i="1" s="1"/>
  <c r="AS175" i="1"/>
  <c r="AT175" i="1" s="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40" i="1" s="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U110" i="1"/>
  <c r="U163" i="1"/>
  <c r="U115" i="1"/>
  <c r="U180" i="1"/>
  <c r="V180" i="1" s="1"/>
  <c r="U132" i="1"/>
  <c r="U197" i="1"/>
  <c r="V197" i="1" s="1"/>
  <c r="U150" i="1"/>
  <c r="V150" i="1" s="1"/>
  <c r="U118" i="1"/>
  <c r="U160" i="1"/>
  <c r="U167" i="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AT176" i="1" s="1"/>
  <c r="BR136" i="1"/>
  <c r="AX136" i="1"/>
  <c r="BQ136" i="1"/>
  <c r="AY136" i="1"/>
  <c r="BO136" i="1"/>
  <c r="BA136" i="1"/>
  <c r="AX155" i="1"/>
  <c r="AX156" i="1" s="1"/>
  <c r="BT136" i="1"/>
  <c r="AS136" i="1"/>
  <c r="AU155" i="1"/>
  <c r="AU156" i="1" s="1"/>
  <c r="AY155" i="1"/>
  <c r="AY156" i="1" s="1"/>
  <c r="BP136" i="1"/>
  <c r="BS136" i="1"/>
  <c r="BN136" i="1"/>
  <c r="AZ136" i="1"/>
  <c r="BU136" i="1"/>
  <c r="BV136" i="1"/>
  <c r="U162" i="1"/>
  <c r="U175" i="1"/>
  <c r="V175" i="1" s="1"/>
  <c r="U171" i="1"/>
  <c r="V171" i="1" s="1"/>
  <c r="U123" i="1"/>
  <c r="U188" i="1"/>
  <c r="V188" i="1" s="1"/>
  <c r="U140" i="1"/>
  <c r="U205" i="1"/>
  <c r="U158" i="1"/>
  <c r="U191" i="1"/>
  <c r="V191" i="1" s="1"/>
  <c r="U168" i="1"/>
  <c r="U112" i="1"/>
  <c r="U177" i="1"/>
  <c r="V177" i="1" s="1"/>
  <c r="AA159" i="1"/>
  <c r="AA125" i="1"/>
  <c r="AA157" i="1"/>
  <c r="AA112" i="1"/>
  <c r="U113" i="1"/>
  <c r="U178" i="1"/>
  <c r="V178" i="1" s="1"/>
  <c r="U122" i="1"/>
  <c r="U187" i="1"/>
  <c r="V187" i="1" s="1"/>
  <c r="U139" i="1"/>
  <c r="AA204" i="1"/>
  <c r="U157" i="1"/>
  <c r="U144" i="1"/>
  <c r="V144" i="1" s="1"/>
  <c r="U174" i="1"/>
  <c r="V174" i="1" s="1"/>
  <c r="U119" i="1"/>
  <c r="U184" i="1"/>
  <c r="V184" i="1" s="1"/>
  <c r="U128" i="1"/>
  <c r="U193" i="1"/>
  <c r="V193" i="1" s="1"/>
  <c r="AA144" i="1"/>
  <c r="AA117" i="1"/>
  <c r="AA180" i="1"/>
  <c r="AA137" i="1"/>
  <c r="U121" i="1"/>
  <c r="U186" i="1"/>
  <c r="V186" i="1" s="1"/>
  <c r="U130" i="1"/>
  <c r="U195" i="1"/>
  <c r="V195" i="1" s="1"/>
  <c r="U148" i="1"/>
  <c r="V148" i="1" s="1"/>
  <c r="U126" i="1"/>
  <c r="U165" i="1"/>
  <c r="U117" i="1"/>
  <c r="U182" i="1"/>
  <c r="V182" i="1" s="1"/>
  <c r="U127" i="1"/>
  <c r="AA192" i="1"/>
  <c r="U136" i="1"/>
  <c r="AA201" i="1"/>
  <c r="AA154" i="1"/>
  <c r="AA141" i="1"/>
  <c r="AA205" i="1"/>
  <c r="U129" i="1"/>
  <c r="U194" i="1"/>
  <c r="V194" i="1" s="1"/>
  <c r="U138" i="1"/>
  <c r="AA203" i="1"/>
  <c r="U156" i="1"/>
  <c r="U183" i="1"/>
  <c r="V183" i="1" s="1"/>
  <c r="U173" i="1"/>
  <c r="V173" i="1" s="1"/>
  <c r="U125" i="1"/>
  <c r="U190" i="1"/>
  <c r="V190" i="1" s="1"/>
  <c r="U135" i="1"/>
  <c r="U200" i="1"/>
  <c r="V200" i="1" s="1"/>
  <c r="U145" i="1"/>
  <c r="V145" i="1" s="1"/>
  <c r="U209" i="1"/>
  <c r="V209" i="1" s="1"/>
  <c r="AA128" i="1"/>
  <c r="AA156" i="1"/>
  <c r="AA110" i="1"/>
  <c r="U137" i="1"/>
  <c r="U202" i="1"/>
  <c r="V202" i="1" s="1"/>
  <c r="U147" i="1"/>
  <c r="V147" i="1" s="1"/>
  <c r="U151" i="1"/>
  <c r="V151" i="1" s="1"/>
  <c r="U164" i="1"/>
  <c r="U116" i="1"/>
  <c r="AA181" i="1"/>
  <c r="U133" i="1"/>
  <c r="U198" i="1"/>
  <c r="V198" i="1" s="1"/>
  <c r="U143" i="1"/>
  <c r="V143" i="1" s="1"/>
  <c r="U208" i="1"/>
  <c r="V208" i="1" s="1"/>
  <c r="U153" i="1"/>
  <c r="U142" i="1"/>
  <c r="V142" i="1" s="1"/>
  <c r="AA124" i="1"/>
  <c r="AA129" i="1"/>
  <c r="U146" i="1"/>
  <c r="V146" i="1" s="1"/>
  <c r="U210" i="1"/>
  <c r="U155" i="1"/>
  <c r="U207" i="1"/>
  <c r="V207" i="1" s="1"/>
  <c r="U172" i="1"/>
  <c r="V172" i="1" s="1"/>
  <c r="U124" i="1"/>
  <c r="AA189" i="1"/>
  <c r="U141" i="1"/>
  <c r="U206" i="1"/>
  <c r="V206" i="1" s="1"/>
  <c r="AA152" i="1"/>
  <c r="U134" i="1"/>
  <c r="U161" i="1"/>
  <c r="U199" i="1"/>
  <c r="V199" i="1" s="1"/>
  <c r="AE59" i="1"/>
  <c r="AR165" i="1" l="1"/>
  <c r="AR166" i="1" s="1"/>
  <c r="AR164" i="1"/>
  <c r="AR195" i="1"/>
  <c r="BK195" i="1"/>
  <c r="D45" i="1" s="1"/>
  <c r="Q11" i="1" s="1"/>
  <c r="Q10" i="1" s="1"/>
  <c r="AR141" i="1"/>
  <c r="BK141" i="1"/>
  <c r="AR142" i="1"/>
  <c r="BK142" i="1"/>
  <c r="BY137" i="1"/>
  <c r="BY138" i="1"/>
  <c r="BF137" i="1"/>
  <c r="BF141" i="1" s="1"/>
  <c r="BX137" i="1"/>
  <c r="BF151" i="1"/>
  <c r="BF152" i="1" s="1"/>
  <c r="BF140" i="1"/>
  <c r="BF159" i="1" s="1"/>
  <c r="BF160" i="1" s="1"/>
  <c r="BE138" i="1"/>
  <c r="BE142" i="1" s="1"/>
  <c r="BF163" i="1"/>
  <c r="BF165" i="1" s="1"/>
  <c r="BF166" i="1" s="1"/>
  <c r="BE137" i="1"/>
  <c r="BX141" i="1" s="1"/>
  <c r="BY151" i="1"/>
  <c r="BY152" i="1" s="1"/>
  <c r="BE140" i="1"/>
  <c r="BE159" i="1" s="1"/>
  <c r="BE160" i="1" s="1"/>
  <c r="BY140" i="1"/>
  <c r="BE163" i="1"/>
  <c r="BE165" i="1" s="1"/>
  <c r="BE166" i="1" s="1"/>
  <c r="BX140" i="1"/>
  <c r="BE151" i="1"/>
  <c r="BE152" i="1" s="1"/>
  <c r="BX138" i="1"/>
  <c r="BD151" i="1"/>
  <c r="BD152" i="1" s="1"/>
  <c r="BD137" i="1"/>
  <c r="BD141" i="1" s="1"/>
  <c r="BW151" i="1"/>
  <c r="BW152" i="1" s="1"/>
  <c r="BW137" i="1"/>
  <c r="BW138" i="1"/>
  <c r="BF142" i="1"/>
  <c r="BY142" i="1"/>
  <c r="BE195" i="1"/>
  <c r="BX195" i="1"/>
  <c r="Q45" i="1" s="1"/>
  <c r="BY195" i="1"/>
  <c r="R45" i="1" s="1"/>
  <c r="BF195" i="1"/>
  <c r="U72" i="1"/>
  <c r="DD6" i="1" s="1"/>
  <c r="AW214" i="1"/>
  <c r="U74" i="1"/>
  <c r="DE6" i="1" s="1"/>
  <c r="AI179" i="1"/>
  <c r="AW138" i="1"/>
  <c r="BP142" i="1" s="1"/>
  <c r="AW204" i="1"/>
  <c r="AW217" i="1"/>
  <c r="AW151" i="1"/>
  <c r="AW152" i="1" s="1"/>
  <c r="BP137" i="1"/>
  <c r="BP138" i="1"/>
  <c r="BP151" i="1"/>
  <c r="BP152" i="1" s="1"/>
  <c r="BP140" i="1"/>
  <c r="AW140" i="1"/>
  <c r="AW159" i="1" s="1"/>
  <c r="AW160" i="1" s="1"/>
  <c r="AW137" i="1"/>
  <c r="AW141" i="1" s="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W140" i="1"/>
  <c r="BD138" i="1"/>
  <c r="BD142" i="1" s="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V139" i="1"/>
  <c r="W210" i="1"/>
  <c r="V205" i="1"/>
  <c r="W190" i="1"/>
  <c r="W202" i="1"/>
  <c r="W203" i="1"/>
  <c r="W196" i="1"/>
  <c r="V124" i="1"/>
  <c r="W129" i="1"/>
  <c r="V133" i="1"/>
  <c r="W138" i="1"/>
  <c r="V135" i="1"/>
  <c r="W140" i="1"/>
  <c r="V126" i="1"/>
  <c r="W131" i="1"/>
  <c r="V128" i="1"/>
  <c r="W133" i="1"/>
  <c r="W145" i="1"/>
  <c r="V140" i="1"/>
  <c r="AZ163" i="1"/>
  <c r="BS140" i="1"/>
  <c r="AZ140" i="1"/>
  <c r="AZ159" i="1" s="1"/>
  <c r="AZ160" i="1" s="1"/>
  <c r="BS138" i="1"/>
  <c r="AZ138" i="1"/>
  <c r="AZ151" i="1"/>
  <c r="AZ152" i="1" s="1"/>
  <c r="AZ137" i="1"/>
  <c r="BS151" i="1"/>
  <c r="BS152" i="1" s="1"/>
  <c r="BS137" i="1"/>
  <c r="AU163" i="1"/>
  <c r="BN137" i="1"/>
  <c r="BN138" i="1"/>
  <c r="AU140" i="1"/>
  <c r="AU159" i="1" s="1"/>
  <c r="AU160" i="1" s="1"/>
  <c r="AU138" i="1"/>
  <c r="AU137" i="1"/>
  <c r="BN151" i="1"/>
  <c r="BN152" i="1" s="1"/>
  <c r="BN140" i="1"/>
  <c r="AU151" i="1"/>
  <c r="AU152" i="1" s="1"/>
  <c r="V137" i="1"/>
  <c r="W142" i="1"/>
  <c r="W193" i="1"/>
  <c r="W198" i="1"/>
  <c r="W199" i="1"/>
  <c r="W195" i="1"/>
  <c r="W134" i="1"/>
  <c r="V129" i="1"/>
  <c r="V122" i="1"/>
  <c r="W127" i="1"/>
  <c r="W175" i="1"/>
  <c r="BA163" i="1"/>
  <c r="BA151" i="1"/>
  <c r="BA152" i="1" s="1"/>
  <c r="BA137" i="1"/>
  <c r="BT140" i="1"/>
  <c r="BA140" i="1"/>
  <c r="BA159" i="1" s="1"/>
  <c r="BA160" i="1" s="1"/>
  <c r="BT151" i="1"/>
  <c r="BT152" i="1" s="1"/>
  <c r="BT138" i="1"/>
  <c r="BT137" i="1"/>
  <c r="BA138" i="1"/>
  <c r="W120" i="1"/>
  <c r="V115" i="1"/>
  <c r="W137" i="1"/>
  <c r="V132" i="1"/>
  <c r="W189" i="1"/>
  <c r="W209" i="1"/>
  <c r="W205" i="1"/>
  <c r="W197" i="1"/>
  <c r="V161" i="1"/>
  <c r="W166" i="1"/>
  <c r="V116" i="1"/>
  <c r="W121" i="1"/>
  <c r="V125" i="1"/>
  <c r="W130" i="1"/>
  <c r="V136" i="1"/>
  <c r="W141" i="1"/>
  <c r="V119" i="1"/>
  <c r="W124" i="1"/>
  <c r="W128" i="1"/>
  <c r="V123" i="1"/>
  <c r="V167" i="1"/>
  <c r="W172" i="1"/>
  <c r="W168" i="1"/>
  <c r="V163" i="1"/>
  <c r="BC163" i="1"/>
  <c r="BV140" i="1"/>
  <c r="BC138" i="1"/>
  <c r="BV151" i="1"/>
  <c r="BV152" i="1" s="1"/>
  <c r="BC137" i="1"/>
  <c r="BC151" i="1"/>
  <c r="BC152" i="1" s="1"/>
  <c r="BV138" i="1"/>
  <c r="BV137" i="1"/>
  <c r="BC140" i="1"/>
  <c r="BC159" i="1" s="1"/>
  <c r="BC160" i="1" s="1"/>
  <c r="W201" i="1"/>
  <c r="V134" i="1"/>
  <c r="W139" i="1"/>
  <c r="V155" i="1"/>
  <c r="W160" i="1"/>
  <c r="W169" i="1"/>
  <c r="V164" i="1"/>
  <c r="W135" i="1"/>
  <c r="V130" i="1"/>
  <c r="W171" i="1"/>
  <c r="W118" i="1"/>
  <c r="V113" i="1"/>
  <c r="V112" i="1"/>
  <c r="W117" i="1"/>
  <c r="AY163" i="1"/>
  <c r="BR151" i="1"/>
  <c r="BR152" i="1" s="1"/>
  <c r="AY138" i="1"/>
  <c r="AY137" i="1"/>
  <c r="AY151" i="1"/>
  <c r="AY152" i="1" s="1"/>
  <c r="AY140" i="1"/>
  <c r="AY159" i="1" s="1"/>
  <c r="AY160" i="1" s="1"/>
  <c r="BR138" i="1"/>
  <c r="BR140" i="1"/>
  <c r="BR137" i="1"/>
  <c r="AV163" i="1"/>
  <c r="AV140" i="1"/>
  <c r="AV159" i="1" s="1"/>
  <c r="AV160" i="1" s="1"/>
  <c r="BO140" i="1"/>
  <c r="AV151" i="1"/>
  <c r="AV152" i="1" s="1"/>
  <c r="BO138" i="1"/>
  <c r="BO137" i="1"/>
  <c r="AV138" i="1"/>
  <c r="AV137" i="1"/>
  <c r="BO151" i="1"/>
  <c r="BO152" i="1" s="1"/>
  <c r="W165" i="1"/>
  <c r="V160" i="1"/>
  <c r="W113" i="1"/>
  <c r="W110" i="1"/>
  <c r="W114" i="1"/>
  <c r="W112" i="1"/>
  <c r="V110" i="1"/>
  <c r="W111" i="1"/>
  <c r="W115" i="1"/>
  <c r="W119" i="1"/>
  <c r="W143" i="1"/>
  <c r="V138" i="1"/>
  <c r="W192" i="1"/>
  <c r="W208" i="1"/>
  <c r="AY195" i="1"/>
  <c r="BR196" i="1" s="1"/>
  <c r="AZ195" i="1"/>
  <c r="BS197" i="1" s="1"/>
  <c r="V210" i="1"/>
  <c r="AT124" i="1"/>
  <c r="R198" i="1" s="1"/>
  <c r="W158" i="1"/>
  <c r="V153" i="1"/>
  <c r="W125" i="1"/>
  <c r="W132" i="1"/>
  <c r="V127" i="1"/>
  <c r="W164" i="1"/>
  <c r="V168" i="1"/>
  <c r="W173" i="1"/>
  <c r="BB163" i="1"/>
  <c r="BU138" i="1"/>
  <c r="BU140" i="1"/>
  <c r="BB140" i="1"/>
  <c r="BB159" i="1" s="1"/>
  <c r="BB160" i="1" s="1"/>
  <c r="BU151" i="1"/>
  <c r="BU152" i="1" s="1"/>
  <c r="BB137" i="1"/>
  <c r="BB151" i="1"/>
  <c r="BB152" i="1" s="1"/>
  <c r="BB138" i="1"/>
  <c r="BU137" i="1"/>
  <c r="V118" i="1"/>
  <c r="W123" i="1"/>
  <c r="V154" i="1"/>
  <c r="W159" i="1"/>
  <c r="W174" i="1"/>
  <c r="W170" i="1"/>
  <c r="V165" i="1"/>
  <c r="W204" i="1"/>
  <c r="BB195" i="1"/>
  <c r="BB197" i="1" s="1"/>
  <c r="BB201" i="1" s="1"/>
  <c r="BU195" i="1"/>
  <c r="N45" i="1" s="1"/>
  <c r="BA195" i="1"/>
  <c r="BT196" i="1" s="1"/>
  <c r="V156" i="1"/>
  <c r="W161" i="1"/>
  <c r="V121" i="1"/>
  <c r="W126" i="1"/>
  <c r="W162" i="1"/>
  <c r="V157" i="1"/>
  <c r="V162" i="1"/>
  <c r="W167" i="1"/>
  <c r="AX163" i="1"/>
  <c r="AX151" i="1"/>
  <c r="AX152" i="1" s="1"/>
  <c r="BQ140" i="1"/>
  <c r="AX138" i="1"/>
  <c r="BQ138" i="1"/>
  <c r="AX140" i="1"/>
  <c r="AX159" i="1" s="1"/>
  <c r="AX160" i="1" s="1"/>
  <c r="AX137" i="1"/>
  <c r="BQ151" i="1"/>
  <c r="BQ152" i="1" s="1"/>
  <c r="BQ137" i="1"/>
  <c r="AT163" i="1"/>
  <c r="BM140" i="1"/>
  <c r="BM137" i="1"/>
  <c r="AT138" i="1"/>
  <c r="AT140" i="1"/>
  <c r="AT159" i="1" s="1"/>
  <c r="AT160" i="1" s="1"/>
  <c r="AT137" i="1"/>
  <c r="BM138" i="1"/>
  <c r="W188" i="1"/>
  <c r="W191" i="1"/>
  <c r="W200" i="1"/>
  <c r="BC195" i="1"/>
  <c r="BV197" i="1" s="1"/>
  <c r="V141" i="1"/>
  <c r="W146" i="1"/>
  <c r="V117" i="1"/>
  <c r="W122" i="1"/>
  <c r="V158" i="1"/>
  <c r="W163" i="1"/>
  <c r="AS163" i="1"/>
  <c r="AS140" i="1"/>
  <c r="AS159" i="1" s="1"/>
  <c r="AS160" i="1" s="1"/>
  <c r="BL140" i="1"/>
  <c r="AS137" i="1"/>
  <c r="BL151" i="1"/>
  <c r="BL152" i="1" s="1"/>
  <c r="BL137" i="1"/>
  <c r="BL138" i="1"/>
  <c r="AS138" i="1"/>
  <c r="AS151" i="1"/>
  <c r="W136" i="1"/>
  <c r="AR214" i="1" l="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199" i="1"/>
  <c r="AR218" i="1" s="1"/>
  <c r="AR197" i="1"/>
  <c r="BK196" i="1"/>
  <c r="D46" i="1" s="1"/>
  <c r="AR196" i="1"/>
  <c r="BK199" i="1"/>
  <c r="D49" i="1" s="1"/>
  <c r="BE164" i="1"/>
  <c r="BY141" i="1"/>
  <c r="BE141" i="1"/>
  <c r="BX142" i="1"/>
  <c r="BF164" i="1"/>
  <c r="BW141"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199" i="1"/>
  <c r="BF218" i="1" s="1"/>
  <c r="BY196" i="1"/>
  <c r="R46" i="1" s="1"/>
  <c r="BY197" i="1"/>
  <c r="R47" i="1" s="1"/>
  <c r="BF197" i="1"/>
  <c r="BF196" i="1"/>
  <c r="BY199" i="1"/>
  <c r="R49" i="1" s="1"/>
  <c r="BW142" i="1"/>
  <c r="BX197" i="1"/>
  <c r="Q47" i="1" s="1"/>
  <c r="BX199" i="1"/>
  <c r="Q49" i="1" s="1"/>
  <c r="BX196" i="1"/>
  <c r="Q46" i="1" s="1"/>
  <c r="BE196" i="1"/>
  <c r="BE199" i="1"/>
  <c r="BE218" i="1" s="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AU196" i="1" s="1"/>
  <c r="AU200" i="1" s="1"/>
  <c r="BL195" i="1"/>
  <c r="E45" i="1" s="1"/>
  <c r="AX195" i="1"/>
  <c r="AX196" i="1" s="1"/>
  <c r="BQ200" i="1" s="1"/>
  <c r="BP195" i="1"/>
  <c r="I45" i="1" s="1"/>
  <c r="AS195" i="1"/>
  <c r="BL199" i="1" s="1"/>
  <c r="E49" i="1" s="1"/>
  <c r="AI171" i="1"/>
  <c r="AJ171" i="1" s="1"/>
  <c r="AK171" i="1" s="1"/>
  <c r="AI239" i="1"/>
  <c r="AJ239" i="1" s="1"/>
  <c r="AI213" i="1"/>
  <c r="AJ213" i="1" s="1"/>
  <c r="AI203" i="1"/>
  <c r="AJ203" i="1" s="1"/>
  <c r="AI255" i="1"/>
  <c r="AJ255" i="1" s="1"/>
  <c r="AK255" i="1" s="1"/>
  <c r="U64" i="1"/>
  <c r="AI174" i="1"/>
  <c r="AI247" i="1"/>
  <c r="AI166" i="1"/>
  <c r="AJ166" i="1" s="1"/>
  <c r="AI222" i="1"/>
  <c r="AI176" i="1"/>
  <c r="AJ176" i="1" s="1"/>
  <c r="AK176" i="1" s="1"/>
  <c r="AI170" i="1"/>
  <c r="AJ170" i="1" s="1"/>
  <c r="AK170" i="1" s="1"/>
  <c r="DC6" i="1"/>
  <c r="DB6" i="1"/>
  <c r="AI223" i="1"/>
  <c r="AI244" i="1"/>
  <c r="AJ244" i="1" s="1"/>
  <c r="AI209" i="1"/>
  <c r="AJ209" i="1" s="1"/>
  <c r="AK209" i="1" s="1"/>
  <c r="AI243" i="1"/>
  <c r="AJ243" i="1" s="1"/>
  <c r="AK243" i="1" s="1"/>
  <c r="AI240" i="1"/>
  <c r="AJ240" i="1" s="1"/>
  <c r="AI230" i="1"/>
  <c r="AJ230" i="1" s="1"/>
  <c r="AK230" i="1" s="1"/>
  <c r="AI217" i="1"/>
  <c r="AJ217" i="1" s="1"/>
  <c r="AI250" i="1"/>
  <c r="AI214" i="1"/>
  <c r="AJ214" i="1" s="1"/>
  <c r="AK214" i="1" s="1"/>
  <c r="AI194" i="1"/>
  <c r="AJ194" i="1" s="1"/>
  <c r="AK194" i="1" s="1"/>
  <c r="AI227" i="1"/>
  <c r="AJ227" i="1" s="1"/>
  <c r="AK227" i="1" s="1"/>
  <c r="AI177" i="1"/>
  <c r="AI216" i="1"/>
  <c r="AJ216" i="1" s="1"/>
  <c r="AK216" i="1" s="1"/>
  <c r="AI212" i="1"/>
  <c r="AI218" i="1"/>
  <c r="AI163" i="1"/>
  <c r="AJ163" i="1" s="1"/>
  <c r="AI242" i="1"/>
  <c r="AJ242" i="1" s="1"/>
  <c r="AI221" i="1"/>
  <c r="AI215" i="1"/>
  <c r="AJ215" i="1" s="1"/>
  <c r="AK215" i="1" s="1"/>
  <c r="AI210" i="1"/>
  <c r="AJ210" i="1" s="1"/>
  <c r="AI252" i="1"/>
  <c r="AI185" i="1"/>
  <c r="AI234" i="1"/>
  <c r="AJ234" i="1" s="1"/>
  <c r="AK234" i="1" s="1"/>
  <c r="AI205" i="1"/>
  <c r="AJ205" i="1" s="1"/>
  <c r="AI229" i="1"/>
  <c r="AJ229" i="1" s="1"/>
  <c r="AI198" i="1"/>
  <c r="AJ198" i="1" s="1"/>
  <c r="AI191" i="1"/>
  <c r="AJ191" i="1" s="1"/>
  <c r="AK191" i="1" s="1"/>
  <c r="AI183" i="1"/>
  <c r="AJ183" i="1" s="1"/>
  <c r="AK183" i="1" s="1"/>
  <c r="AI197" i="1"/>
  <c r="AT191" i="1"/>
  <c r="AI188" i="1"/>
  <c r="AJ188" i="1" s="1"/>
  <c r="AI193" i="1"/>
  <c r="AJ193" i="1" s="1"/>
  <c r="AI164" i="1"/>
  <c r="AJ164" i="1" s="1"/>
  <c r="AK164" i="1" s="1"/>
  <c r="AI236" i="1"/>
  <c r="AI182" i="1"/>
  <c r="AI226" i="1"/>
  <c r="AJ226" i="1" s="1"/>
  <c r="AI237" i="1"/>
  <c r="AI195" i="1"/>
  <c r="AI184" i="1"/>
  <c r="AT189" i="1"/>
  <c r="AT192" i="1" s="1"/>
  <c r="AI235" i="1"/>
  <c r="AI178" i="1"/>
  <c r="AJ178" i="1" s="1"/>
  <c r="AK178" i="1" s="1"/>
  <c r="AI254" i="1"/>
  <c r="AI204" i="1"/>
  <c r="AI263" i="1"/>
  <c r="AI192" i="1"/>
  <c r="AI262" i="1"/>
  <c r="AI225" i="1"/>
  <c r="AJ225" i="1" s="1"/>
  <c r="AK225" i="1" s="1"/>
  <c r="AI207" i="1"/>
  <c r="AI224" i="1"/>
  <c r="AJ224" i="1" s="1"/>
  <c r="AI251" i="1"/>
  <c r="AJ251" i="1" s="1"/>
  <c r="AI231" i="1"/>
  <c r="AJ231" i="1" s="1"/>
  <c r="AI248" i="1"/>
  <c r="AI169" i="1"/>
  <c r="AI196" i="1"/>
  <c r="AI165" i="1"/>
  <c r="AJ165" i="1" s="1"/>
  <c r="AI256" i="1"/>
  <c r="AJ256" i="1" s="1"/>
  <c r="AI228" i="1"/>
  <c r="AJ228" i="1" s="1"/>
  <c r="AI233" i="1"/>
  <c r="AI200" i="1"/>
  <c r="AI253" i="1"/>
  <c r="AI167" i="1"/>
  <c r="AI249" i="1"/>
  <c r="AI232" i="1"/>
  <c r="AJ232" i="1" s="1"/>
  <c r="AI245" i="1"/>
  <c r="AI259" i="1"/>
  <c r="AI186" i="1"/>
  <c r="AI202" i="1"/>
  <c r="AJ202" i="1" s="1"/>
  <c r="AK202" i="1" s="1"/>
  <c r="AI257" i="1"/>
  <c r="AI180" i="1"/>
  <c r="AI187" i="1"/>
  <c r="AI211" i="1"/>
  <c r="AJ211" i="1" s="1"/>
  <c r="AK211" i="1" s="1"/>
  <c r="AI238" i="1"/>
  <c r="AI208" i="1"/>
  <c r="AJ208" i="1" s="1"/>
  <c r="AK208" i="1" s="1"/>
  <c r="AI261" i="1"/>
  <c r="AI260" i="1"/>
  <c r="AJ260" i="1" s="1"/>
  <c r="AI189" i="1"/>
  <c r="AI190" i="1"/>
  <c r="AI246" i="1"/>
  <c r="AI241" i="1"/>
  <c r="AI172" i="1"/>
  <c r="AI219" i="1"/>
  <c r="AJ219" i="1" s="1"/>
  <c r="AI181" i="1"/>
  <c r="AI168" i="1"/>
  <c r="AJ168" i="1" s="1"/>
  <c r="AK168" i="1" s="1"/>
  <c r="AI175" i="1"/>
  <c r="AI220" i="1"/>
  <c r="AI206" i="1"/>
  <c r="AI199" i="1"/>
  <c r="AI173" i="1"/>
  <c r="AI201" i="1"/>
  <c r="AJ201" i="1" s="1"/>
  <c r="AK201" i="1" s="1"/>
  <c r="AI258" i="1"/>
  <c r="AW142" i="1"/>
  <c r="AW213" i="1"/>
  <c r="BP141" i="1"/>
  <c r="BD165" i="1"/>
  <c r="BD166" i="1" s="1"/>
  <c r="O11" i="1"/>
  <c r="O10" i="1" s="1"/>
  <c r="BW199" i="1"/>
  <c r="P49" i="1" s="1"/>
  <c r="BW196" i="1"/>
  <c r="P46" i="1" s="1"/>
  <c r="BD199" i="1"/>
  <c r="BD196" i="1"/>
  <c r="BW197" i="1"/>
  <c r="P47" i="1" s="1"/>
  <c r="BD197" i="1"/>
  <c r="BR195" i="1"/>
  <c r="K45" i="1" s="1"/>
  <c r="AV195" i="1"/>
  <c r="AV199" i="1" s="1"/>
  <c r="AT195" i="1"/>
  <c r="AT196" i="1" s="1"/>
  <c r="BM200" i="1" s="1"/>
  <c r="X206" i="1"/>
  <c r="BO195" i="1"/>
  <c r="H45" i="1" s="1"/>
  <c r="BS195" i="1"/>
  <c r="L45" i="1" s="1"/>
  <c r="BV195" i="1"/>
  <c r="O45" i="1" s="1"/>
  <c r="P11" i="1" s="1"/>
  <c r="P10" i="1" s="1"/>
  <c r="BN195" i="1"/>
  <c r="G45" i="1" s="1"/>
  <c r="AJ179" i="1"/>
  <c r="BT195" i="1"/>
  <c r="M45" i="1" s="1"/>
  <c r="U12" i="1"/>
  <c r="W12" i="1"/>
  <c r="BM195" i="1"/>
  <c r="F45" i="1" s="1"/>
  <c r="AY199" i="1"/>
  <c r="BR199" i="1"/>
  <c r="K49" i="1" s="1"/>
  <c r="X207" i="1"/>
  <c r="AY197" i="1"/>
  <c r="BR201" i="1" s="1"/>
  <c r="BA196" i="1"/>
  <c r="BA200" i="1" s="1"/>
  <c r="BT199" i="1"/>
  <c r="M49" i="1" s="1"/>
  <c r="BT197" i="1"/>
  <c r="M47" i="1" s="1"/>
  <c r="BA199" i="1"/>
  <c r="BA197" i="1"/>
  <c r="BT201" i="1" s="1"/>
  <c r="AY196" i="1"/>
  <c r="BR200" i="1" s="1"/>
  <c r="AZ196" i="1"/>
  <c r="AZ200" i="1" s="1"/>
  <c r="BR197" i="1"/>
  <c r="K47" i="1" s="1"/>
  <c r="BS196" i="1"/>
  <c r="L46" i="1" s="1"/>
  <c r="BC197" i="1"/>
  <c r="BV201" i="1" s="1"/>
  <c r="BV199" i="1"/>
  <c r="O49" i="1" s="1"/>
  <c r="BC19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BV200" i="1" s="1"/>
  <c r="X174" i="1"/>
  <c r="BB199" i="1"/>
  <c r="X175" i="1"/>
  <c r="X165" i="1"/>
  <c r="X193" i="1"/>
  <c r="X115" i="1"/>
  <c r="X161" i="1"/>
  <c r="R193" i="1"/>
  <c r="X173" i="1"/>
  <c r="X131" i="1"/>
  <c r="BU197" i="1"/>
  <c r="N47" i="1" s="1"/>
  <c r="BB196" i="1"/>
  <c r="BU200" i="1" s="1"/>
  <c r="M46" i="1"/>
  <c r="X123" i="1"/>
  <c r="X140" i="1"/>
  <c r="X124" i="1"/>
  <c r="BU196" i="1"/>
  <c r="N46" i="1" s="1"/>
  <c r="BS199" i="1"/>
  <c r="L49" i="1" s="1"/>
  <c r="BU199" i="1"/>
  <c r="N49" i="1" s="1"/>
  <c r="AZ199" i="1"/>
  <c r="BV196" i="1"/>
  <c r="O46" i="1" s="1"/>
  <c r="X132" i="1"/>
  <c r="X188" i="1"/>
  <c r="BB141" i="1"/>
  <c r="BU141" i="1"/>
  <c r="BO141" i="1"/>
  <c r="AV141" i="1"/>
  <c r="AY164" i="1"/>
  <c r="AY165" i="1"/>
  <c r="AY166" i="1" s="1"/>
  <c r="X142" i="1"/>
  <c r="BT142" i="1"/>
  <c r="BA142" i="1"/>
  <c r="BA165" i="1"/>
  <c r="BA166" i="1" s="1"/>
  <c r="BA164" i="1"/>
  <c r="AU142" i="1"/>
  <c r="BN142" i="1"/>
  <c r="X134" i="1"/>
  <c r="X130" i="1"/>
  <c r="AT165" i="1"/>
  <c r="AT166" i="1" s="1"/>
  <c r="AT164" i="1"/>
  <c r="X162" i="1"/>
  <c r="X160" i="1"/>
  <c r="AZ197" i="1"/>
  <c r="AV142" i="1"/>
  <c r="BO142" i="1"/>
  <c r="X170" i="1"/>
  <c r="X169" i="1"/>
  <c r="X210" i="1"/>
  <c r="AZ142" i="1"/>
  <c r="BS142" i="1"/>
  <c r="BL141" i="1"/>
  <c r="AS141" i="1"/>
  <c r="BV141" i="1"/>
  <c r="BC141" i="1"/>
  <c r="R205" i="1"/>
  <c r="X126" i="1"/>
  <c r="X111" i="1"/>
  <c r="R139" i="1"/>
  <c r="BE115" i="1"/>
  <c r="BE116" i="1" s="1"/>
  <c r="AT141" i="1"/>
  <c r="BM141" i="1"/>
  <c r="AX141" i="1"/>
  <c r="BQ141" i="1"/>
  <c r="X114" i="1"/>
  <c r="X119" i="1"/>
  <c r="BC142" i="1"/>
  <c r="BV142" i="1"/>
  <c r="X122" i="1"/>
  <c r="AU165" i="1"/>
  <c r="AU166" i="1" s="1"/>
  <c r="AU164" i="1"/>
  <c r="X141" i="1"/>
  <c r="X203" i="1"/>
  <c r="X192" i="1"/>
  <c r="AS152" i="1"/>
  <c r="BA115" i="1" s="1"/>
  <c r="AY115" i="1"/>
  <c r="AW115" i="1"/>
  <c r="AS165" i="1"/>
  <c r="AS166" i="1" s="1"/>
  <c r="AS164" i="1"/>
  <c r="BB165" i="1"/>
  <c r="BB166" i="1" s="1"/>
  <c r="BB164" i="1"/>
  <c r="X159" i="1"/>
  <c r="BR141" i="1"/>
  <c r="AY141" i="1"/>
  <c r="X172" i="1"/>
  <c r="X129" i="1"/>
  <c r="X138" i="1"/>
  <c r="X135" i="1"/>
  <c r="AZ165" i="1"/>
  <c r="AZ166" i="1" s="1"/>
  <c r="AZ164" i="1"/>
  <c r="X145" i="1"/>
  <c r="BL142" i="1"/>
  <c r="AS142" i="1"/>
  <c r="AT142" i="1"/>
  <c r="BM142" i="1"/>
  <c r="X163" i="1"/>
  <c r="BU142" i="1"/>
  <c r="BB142"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R142" i="1"/>
  <c r="AY142" i="1"/>
  <c r="BC164" i="1"/>
  <c r="BC165" i="1"/>
  <c r="BC166" i="1" s="1"/>
  <c r="X125" i="1"/>
  <c r="X167" i="1"/>
  <c r="BA141" i="1"/>
  <c r="BT141" i="1"/>
  <c r="X139" i="1"/>
  <c r="R165" i="1"/>
  <c r="AX165" i="1"/>
  <c r="AX166" i="1" s="1"/>
  <c r="AX164" i="1"/>
  <c r="AX142" i="1"/>
  <c r="BQ142" i="1"/>
  <c r="X127" i="1"/>
  <c r="R200" i="1"/>
  <c r="X112" i="1"/>
  <c r="AV165" i="1"/>
  <c r="AV166" i="1" s="1"/>
  <c r="AV164" i="1"/>
  <c r="X136" i="1"/>
  <c r="X121" i="1"/>
  <c r="AU141" i="1"/>
  <c r="BN141" i="1"/>
  <c r="BS141" i="1"/>
  <c r="AZ141" i="1"/>
  <c r="X146" i="1"/>
  <c r="X117" i="1"/>
  <c r="BU201" i="1"/>
  <c r="AR213" i="1" l="1"/>
  <c r="AR215" i="1" s="1"/>
  <c r="AR211" i="1"/>
  <c r="BK211" i="1"/>
  <c r="AR219" i="1"/>
  <c r="AR200" i="1"/>
  <c r="BK200" i="1"/>
  <c r="D50" i="1" s="1"/>
  <c r="BK201" i="1"/>
  <c r="D51" i="1" s="1"/>
  <c r="AR201" i="1"/>
  <c r="AD59" i="1"/>
  <c r="X59" i="1"/>
  <c r="C11" i="1"/>
  <c r="C10" i="1" s="1"/>
  <c r="J50" i="1"/>
  <c r="AG59" i="1"/>
  <c r="C5" i="1"/>
  <c r="I11" i="1"/>
  <c r="I10" i="1" s="1"/>
  <c r="BY169" i="1"/>
  <c r="R40" i="1" s="1"/>
  <c r="FO6" i="1" s="1"/>
  <c r="AW199" i="1"/>
  <c r="AW218" i="1" s="1"/>
  <c r="AW219" i="1" s="1"/>
  <c r="BF219" i="1"/>
  <c r="BE219" i="1"/>
  <c r="BE211" i="1"/>
  <c r="BX211" i="1"/>
  <c r="BN200" i="1"/>
  <c r="G50" i="1" s="1"/>
  <c r="BE213" i="1"/>
  <c r="BE215" i="1" s="1"/>
  <c r="Y59" i="1"/>
  <c r="N5" i="1"/>
  <c r="P5" i="1"/>
  <c r="O5" i="1"/>
  <c r="L5" i="1"/>
  <c r="I5" i="1"/>
  <c r="M5" i="1"/>
  <c r="J5" i="1"/>
  <c r="K5" i="1"/>
  <c r="BF215" i="1"/>
  <c r="BY211" i="1"/>
  <c r="BF211" i="1"/>
  <c r="BX201" i="1"/>
  <c r="Q51" i="1" s="1"/>
  <c r="BE201" i="1"/>
  <c r="BF200" i="1"/>
  <c r="BY200" i="1"/>
  <c r="R50" i="1" s="1"/>
  <c r="BY201" i="1"/>
  <c r="R51" i="1" s="1"/>
  <c r="BF201" i="1"/>
  <c r="BX200" i="1"/>
  <c r="Q50" i="1" s="1"/>
  <c r="BE200" i="1"/>
  <c r="H148" i="1"/>
  <c r="H108" i="1"/>
  <c r="BP197" i="1"/>
  <c r="I47" i="1" s="1"/>
  <c r="AU197" i="1"/>
  <c r="AU201" i="1" s="1"/>
  <c r="AS197" i="1"/>
  <c r="BL201" i="1" s="1"/>
  <c r="E51" i="1" s="1"/>
  <c r="BP196" i="1"/>
  <c r="I46" i="1" s="1"/>
  <c r="AW196" i="1"/>
  <c r="AW200" i="1" s="1"/>
  <c r="BP210" i="1"/>
  <c r="AW197" i="1"/>
  <c r="BP201" i="1" s="1"/>
  <c r="I51" i="1" s="1"/>
  <c r="BP211" i="1"/>
  <c r="BQ197" i="1"/>
  <c r="J47" i="1" s="1"/>
  <c r="W59" i="1"/>
  <c r="Z59" i="1"/>
  <c r="H73" i="1"/>
  <c r="I73" i="1" s="1"/>
  <c r="AA59" i="1"/>
  <c r="BL197" i="1"/>
  <c r="E47" i="1" s="1"/>
  <c r="AS199" i="1"/>
  <c r="AS218" i="1" s="1"/>
  <c r="AS196" i="1"/>
  <c r="AS200" i="1" s="1"/>
  <c r="BL196" i="1"/>
  <c r="E46" i="1" s="1"/>
  <c r="AU199" i="1"/>
  <c r="AU218" i="1" s="1"/>
  <c r="BN197" i="1"/>
  <c r="G47" i="1" s="1"/>
  <c r="D11" i="1"/>
  <c r="D10" i="1" s="1"/>
  <c r="BN196" i="1"/>
  <c r="G46" i="1" s="1"/>
  <c r="BN199" i="1"/>
  <c r="G49" i="1" s="1"/>
  <c r="AX197" i="1"/>
  <c r="BQ201" i="1" s="1"/>
  <c r="J51" i="1" s="1"/>
  <c r="BP199" i="1"/>
  <c r="I49" i="1" s="1"/>
  <c r="BQ199" i="1"/>
  <c r="J49" i="1" s="1"/>
  <c r="BQ196" i="1"/>
  <c r="J46" i="1" s="1"/>
  <c r="AX199" i="1"/>
  <c r="AX218" i="1" s="1"/>
  <c r="AX200" i="1"/>
  <c r="AT190" i="1"/>
  <c r="AJ222" i="1"/>
  <c r="AK222" i="1" s="1"/>
  <c r="H122" i="1"/>
  <c r="H71" i="1"/>
  <c r="H97" i="1"/>
  <c r="H114" i="1"/>
  <c r="H98" i="1"/>
  <c r="H164" i="1"/>
  <c r="H86" i="1"/>
  <c r="H90" i="1"/>
  <c r="H136" i="1"/>
  <c r="I136" i="1" s="1"/>
  <c r="H116" i="1"/>
  <c r="I116" i="1" s="1"/>
  <c r="H76" i="1"/>
  <c r="H155" i="1"/>
  <c r="AA100" i="1" s="1"/>
  <c r="H165" i="1"/>
  <c r="AA102" i="1" s="1"/>
  <c r="H154" i="1"/>
  <c r="H118" i="1"/>
  <c r="I118" i="1" s="1"/>
  <c r="H119" i="1"/>
  <c r="I119" i="1" s="1"/>
  <c r="H70" i="1"/>
  <c r="H162" i="1"/>
  <c r="I162" i="1" s="1"/>
  <c r="H104" i="1"/>
  <c r="I104" i="1" s="1"/>
  <c r="H133" i="1"/>
  <c r="I133" i="1" s="1"/>
  <c r="H128" i="1"/>
  <c r="I128" i="1" s="1"/>
  <c r="H85" i="1"/>
  <c r="H112" i="1"/>
  <c r="I112" i="1" s="1"/>
  <c r="H132" i="1"/>
  <c r="I132" i="1" s="1"/>
  <c r="H72" i="1"/>
  <c r="I72" i="1" s="1"/>
  <c r="H81" i="1"/>
  <c r="I81" i="1" s="1"/>
  <c r="H153" i="1"/>
  <c r="I153" i="1" s="1"/>
  <c r="H93" i="1"/>
  <c r="I93" i="1" s="1"/>
  <c r="H117" i="1"/>
  <c r="I117" i="1" s="1"/>
  <c r="H129" i="1"/>
  <c r="I129" i="1" s="1"/>
  <c r="H142" i="1"/>
  <c r="I142" i="1" s="1"/>
  <c r="H78" i="1"/>
  <c r="I78" i="1" s="1"/>
  <c r="H105" i="1"/>
  <c r="H103" i="1"/>
  <c r="I103" i="1" s="1"/>
  <c r="H121" i="1"/>
  <c r="I121" i="1" s="1"/>
  <c r="H110" i="1"/>
  <c r="H130" i="1"/>
  <c r="H126" i="1"/>
  <c r="I126" i="1" s="1"/>
  <c r="H80" i="1"/>
  <c r="H100" i="1"/>
  <c r="H145" i="1"/>
  <c r="H124" i="1"/>
  <c r="H115" i="1"/>
  <c r="H75" i="1"/>
  <c r="AA84" i="1" s="1"/>
  <c r="H158" i="1"/>
  <c r="I158" i="1" s="1"/>
  <c r="H109" i="1"/>
  <c r="H66" i="1"/>
  <c r="I66" i="1" s="1"/>
  <c r="H131" i="1"/>
  <c r="I131" i="1" s="1"/>
  <c r="H144" i="1"/>
  <c r="I144" i="1" s="1"/>
  <c r="H157" i="1"/>
  <c r="I157" i="1" s="1"/>
  <c r="H111" i="1"/>
  <c r="I111" i="1" s="1"/>
  <c r="H68" i="1"/>
  <c r="I68" i="1" s="1"/>
  <c r="H141" i="1"/>
  <c r="I141" i="1" s="1"/>
  <c r="H101" i="1"/>
  <c r="H143" i="1"/>
  <c r="H113" i="1"/>
  <c r="I113" i="1" s="1"/>
  <c r="H134" i="1"/>
  <c r="I134" i="1" s="1"/>
  <c r="H67" i="1"/>
  <c r="H127" i="1"/>
  <c r="I127" i="1" s="1"/>
  <c r="H95" i="1"/>
  <c r="H107" i="1"/>
  <c r="I107" i="1" s="1"/>
  <c r="H65" i="1"/>
  <c r="H96" i="1"/>
  <c r="I96" i="1" s="1"/>
  <c r="H146" i="1"/>
  <c r="I146" i="1" s="1"/>
  <c r="AJ206" i="1"/>
  <c r="AK206" i="1" s="1"/>
  <c r="AJ262" i="1"/>
  <c r="AK262" i="1" s="1"/>
  <c r="AJ258" i="1"/>
  <c r="H160" i="1"/>
  <c r="AA101" i="1" s="1"/>
  <c r="AJ181" i="1"/>
  <c r="H83" i="1"/>
  <c r="AJ182" i="1"/>
  <c r="H84" i="1"/>
  <c r="AJ174" i="1"/>
  <c r="AK174" i="1" s="1"/>
  <c r="AJ172" i="1"/>
  <c r="H74" i="1"/>
  <c r="AJ196" i="1"/>
  <c r="AK196" i="1" s="1"/>
  <c r="AJ246" i="1"/>
  <c r="AK246" i="1" s="1"/>
  <c r="AJ192" i="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7" i="1"/>
  <c r="DI6" i="1" s="1"/>
  <c r="S6" i="1"/>
  <c r="X35" i="1"/>
  <c r="AA40" i="1"/>
  <c r="AJ248" i="1"/>
  <c r="H150" i="1"/>
  <c r="AA99" i="1" s="1"/>
  <c r="AJ184" i="1"/>
  <c r="AK184" i="1" s="1"/>
  <c r="AA54" i="1"/>
  <c r="H152" i="1"/>
  <c r="AJ250" i="1"/>
  <c r="AK250" i="1" s="1"/>
  <c r="H149" i="1"/>
  <c r="AJ247" i="1"/>
  <c r="H125" i="1"/>
  <c r="AA94" i="1" s="1"/>
  <c r="AJ223" i="1"/>
  <c r="AK223" i="1" s="1"/>
  <c r="AJ195" i="1"/>
  <c r="AK195" i="1" s="1"/>
  <c r="AJ253" i="1"/>
  <c r="AK253" i="1" s="1"/>
  <c r="AJ263" i="1"/>
  <c r="AK263" i="1" s="1"/>
  <c r="AJ252" i="1"/>
  <c r="AK252" i="1" s="1"/>
  <c r="AJ220" i="1"/>
  <c r="AK220" i="1" s="1"/>
  <c r="AJ212" i="1"/>
  <c r="AJ169" i="1"/>
  <c r="AK169" i="1" s="1"/>
  <c r="AK213" i="1"/>
  <c r="AJ199" i="1"/>
  <c r="AK199" i="1" s="1"/>
  <c r="H89" i="1"/>
  <c r="AJ187" i="1"/>
  <c r="AK187" i="1" s="1"/>
  <c r="H151" i="1"/>
  <c r="AJ249" i="1"/>
  <c r="AK249" i="1" s="1"/>
  <c r="H120" i="1"/>
  <c r="AA93" i="1" s="1"/>
  <c r="AJ218" i="1"/>
  <c r="AK218" i="1" s="1"/>
  <c r="H92" i="1"/>
  <c r="AJ190" i="1"/>
  <c r="AK190" i="1" s="1"/>
  <c r="H82" i="1"/>
  <c r="AJ180" i="1"/>
  <c r="AK180" i="1" s="1"/>
  <c r="H69" i="1"/>
  <c r="AJ167" i="1"/>
  <c r="AK167" i="1" s="1"/>
  <c r="H87" i="1"/>
  <c r="AJ185" i="1"/>
  <c r="AJ207" i="1"/>
  <c r="H77" i="1"/>
  <c r="AJ175" i="1"/>
  <c r="AK175" i="1" s="1"/>
  <c r="H91" i="1"/>
  <c r="AJ189" i="1"/>
  <c r="AK189" i="1" s="1"/>
  <c r="H159" i="1"/>
  <c r="AJ257" i="1"/>
  <c r="H139" i="1"/>
  <c r="AJ237" i="1"/>
  <c r="H99" i="1"/>
  <c r="AJ197" i="1"/>
  <c r="H102" i="1"/>
  <c r="AJ200" i="1"/>
  <c r="AK200" i="1" s="1"/>
  <c r="H106" i="1"/>
  <c r="AJ204" i="1"/>
  <c r="H79" i="1"/>
  <c r="AJ177" i="1"/>
  <c r="AK177" i="1" s="1"/>
  <c r="H163" i="1"/>
  <c r="AJ261" i="1"/>
  <c r="AK261" i="1" s="1"/>
  <c r="H88" i="1"/>
  <c r="AJ186" i="1"/>
  <c r="AK186" i="1" s="1"/>
  <c r="H135" i="1"/>
  <c r="AA96" i="1" s="1"/>
  <c r="AJ233" i="1"/>
  <c r="AK233" i="1" s="1"/>
  <c r="H156" i="1"/>
  <c r="AJ254" i="1"/>
  <c r="AK254" i="1" s="1"/>
  <c r="AJ241" i="1"/>
  <c r="AK241" i="1" s="1"/>
  <c r="AJ173" i="1"/>
  <c r="H161" i="1"/>
  <c r="AJ259" i="1"/>
  <c r="H138" i="1"/>
  <c r="AJ236" i="1"/>
  <c r="AK236" i="1" s="1"/>
  <c r="H123" i="1"/>
  <c r="AJ221" i="1"/>
  <c r="AK221" i="1" s="1"/>
  <c r="H140" i="1"/>
  <c r="AA97" i="1" s="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AK179" i="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BD201" i="1"/>
  <c r="BW201" i="1"/>
  <c r="P51" i="1" s="1"/>
  <c r="H11" i="1"/>
  <c r="H10" i="1" s="1"/>
  <c r="G11" i="1"/>
  <c r="G10" i="1" s="1"/>
  <c r="BD200" i="1"/>
  <c r="BW200" i="1"/>
  <c r="P50" i="1" s="1"/>
  <c r="AV210" i="1"/>
  <c r="AT200" i="1"/>
  <c r="BO197" i="1"/>
  <c r="H47" i="1" s="1"/>
  <c r="BM196" i="1"/>
  <c r="F46" i="1" s="1"/>
  <c r="BM199" i="1"/>
  <c r="F49" i="1" s="1"/>
  <c r="BM197" i="1"/>
  <c r="F47" i="1" s="1"/>
  <c r="AT199" i="1"/>
  <c r="AT218" i="1" s="1"/>
  <c r="BO199" i="1"/>
  <c r="H49" i="1" s="1"/>
  <c r="AV197" i="1"/>
  <c r="BO201" i="1" s="1"/>
  <c r="H51" i="1" s="1"/>
  <c r="AV196" i="1"/>
  <c r="BO200" i="1" s="1"/>
  <c r="H50" i="1" s="1"/>
  <c r="AT210" i="1"/>
  <c r="BO196" i="1"/>
  <c r="H46" i="1" s="1"/>
  <c r="AT197" i="1"/>
  <c r="AT201" i="1" s="1"/>
  <c r="AK239" i="1"/>
  <c r="K50" i="1"/>
  <c r="O51" i="1"/>
  <c r="BA201" i="1"/>
  <c r="M51" i="1"/>
  <c r="K51" i="1"/>
  <c r="F50" i="1"/>
  <c r="O50" i="1"/>
  <c r="N50" i="1"/>
  <c r="AK226" i="1"/>
  <c r="AK251" i="1"/>
  <c r="AK203" i="1"/>
  <c r="AK242" i="1"/>
  <c r="AK188" i="1"/>
  <c r="AK193" i="1"/>
  <c r="AK260" i="1"/>
  <c r="AK165" i="1"/>
  <c r="I67" i="1"/>
  <c r="AK240" i="1"/>
  <c r="AK166" i="1"/>
  <c r="AK231" i="1"/>
  <c r="AK229" i="1"/>
  <c r="AK224" i="1"/>
  <c r="AK217" i="1"/>
  <c r="AK163" i="1"/>
  <c r="AK228" i="1"/>
  <c r="AK256" i="1"/>
  <c r="AK244" i="1"/>
  <c r="AK198" i="1"/>
  <c r="AF60" i="1"/>
  <c r="AY201" i="1"/>
  <c r="BC201" i="1"/>
  <c r="S144" i="1"/>
  <c r="S117" i="1"/>
  <c r="BT200" i="1"/>
  <c r="M50" i="1" s="1"/>
  <c r="AY200" i="1"/>
  <c r="BC20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BS200" i="1"/>
  <c r="L50" i="1" s="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BB200" i="1"/>
  <c r="AK219" i="1"/>
  <c r="AK232" i="1"/>
  <c r="AL228" i="1"/>
  <c r="AK205" i="1"/>
  <c r="AK210"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AZ201" i="1"/>
  <c r="BS201" i="1"/>
  <c r="L51" i="1" s="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I90" i="1" l="1"/>
  <c r="AB87" i="1" s="1"/>
  <c r="AA87" i="1"/>
  <c r="I80" i="1"/>
  <c r="AB85" i="1" s="1"/>
  <c r="AA85" i="1"/>
  <c r="I65" i="1"/>
  <c r="AB82" i="1" s="1"/>
  <c r="AA82" i="1"/>
  <c r="I85" i="1"/>
  <c r="AB86" i="1" s="1"/>
  <c r="AA86" i="1"/>
  <c r="I130" i="1"/>
  <c r="AB95" i="1" s="1"/>
  <c r="AA95" i="1"/>
  <c r="I100" i="1"/>
  <c r="AB89" i="1" s="1"/>
  <c r="AA89" i="1"/>
  <c r="I95" i="1"/>
  <c r="AB88" i="1" s="1"/>
  <c r="AA88" i="1"/>
  <c r="I110" i="1"/>
  <c r="AB91" i="1" s="1"/>
  <c r="AA91" i="1"/>
  <c r="I115" i="1"/>
  <c r="AB92" i="1" s="1"/>
  <c r="AA92" i="1"/>
  <c r="I145" i="1"/>
  <c r="AB98" i="1" s="1"/>
  <c r="AA98" i="1"/>
  <c r="I105" i="1"/>
  <c r="AB90" i="1" s="1"/>
  <c r="AA90" i="1"/>
  <c r="I70" i="1"/>
  <c r="AB83" i="1" s="1"/>
  <c r="AA83" i="1"/>
  <c r="K96" i="1"/>
  <c r="N96" i="1" s="1"/>
  <c r="J66" i="1"/>
  <c r="M66" i="1" s="1"/>
  <c r="L112" i="1"/>
  <c r="J129" i="1"/>
  <c r="M129" i="1" s="1"/>
  <c r="K73" i="1"/>
  <c r="N73" i="1" s="1"/>
  <c r="K93" i="1"/>
  <c r="N93" i="1" s="1"/>
  <c r="K111" i="1"/>
  <c r="N111" i="1" s="1"/>
  <c r="J121" i="1"/>
  <c r="M121" i="1" s="1"/>
  <c r="K104" i="1"/>
  <c r="N104" i="1" s="1"/>
  <c r="K157" i="1"/>
  <c r="N157" i="1" s="1"/>
  <c r="L116" i="1"/>
  <c r="L134" i="1"/>
  <c r="L72" i="1"/>
  <c r="J136" i="1"/>
  <c r="M136" i="1" s="1"/>
  <c r="I148" i="1"/>
  <c r="I79" i="1"/>
  <c r="I124" i="1"/>
  <c r="I97" i="1"/>
  <c r="I108" i="1"/>
  <c r="I76" i="1"/>
  <c r="I82" i="1"/>
  <c r="I89" i="1"/>
  <c r="I77" i="1"/>
  <c r="I92" i="1"/>
  <c r="I86" i="1"/>
  <c r="I120" i="1"/>
  <c r="AB93" i="1" s="1"/>
  <c r="I154" i="1"/>
  <c r="I164" i="1"/>
  <c r="L164" i="1" s="1"/>
  <c r="I114" i="1"/>
  <c r="BD213" i="1"/>
  <c r="BD215" i="1" s="1"/>
  <c r="AJ40" i="1"/>
  <c r="AS201" i="1"/>
  <c r="BD219" i="1"/>
  <c r="BW211" i="1"/>
  <c r="BN201" i="1"/>
  <c r="G51" i="1" s="1"/>
  <c r="BP200" i="1"/>
  <c r="I50" i="1" s="1"/>
  <c r="L73" i="1"/>
  <c r="J73" i="1"/>
  <c r="M73" i="1" s="1"/>
  <c r="AW201" i="1"/>
  <c r="BL200" i="1"/>
  <c r="E50" i="1" s="1"/>
  <c r="AX201" i="1"/>
  <c r="AT183" i="1"/>
  <c r="U66" i="1" s="1"/>
  <c r="X60"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M229" i="1" s="1"/>
  <c r="AK212" i="1"/>
  <c r="AL202" i="1"/>
  <c r="AL213" i="1"/>
  <c r="AL206" i="1"/>
  <c r="AL174" i="1"/>
  <c r="AL261" i="1"/>
  <c r="AL207" i="1"/>
  <c r="AL208" i="1"/>
  <c r="AL171" i="1"/>
  <c r="AL169" i="1"/>
  <c r="AL204" i="1"/>
  <c r="AL259" i="1"/>
  <c r="AL172" i="1"/>
  <c r="AL181" i="1"/>
  <c r="AL226" i="1"/>
  <c r="AL223" i="1"/>
  <c r="AL260" i="1"/>
  <c r="AL205" i="1"/>
  <c r="AL262" i="1"/>
  <c r="AL227" i="1"/>
  <c r="AM228" i="1" s="1"/>
  <c r="AL203" i="1"/>
  <c r="J116" i="1"/>
  <c r="M116" i="1" s="1"/>
  <c r="J104" i="1"/>
  <c r="M104" i="1" s="1"/>
  <c r="L104" i="1"/>
  <c r="K116" i="1"/>
  <c r="N116" i="1" s="1"/>
  <c r="L103" i="1"/>
  <c r="J157" i="1"/>
  <c r="M157" i="1" s="1"/>
  <c r="L157" i="1"/>
  <c r="L113" i="1"/>
  <c r="K127" i="1"/>
  <c r="N127" i="1" s="1"/>
  <c r="J127" i="1"/>
  <c r="M127" i="1" s="1"/>
  <c r="I98" i="1"/>
  <c r="I165" i="1"/>
  <c r="L78" i="1"/>
  <c r="L132" i="1"/>
  <c r="I155" i="1"/>
  <c r="AB100" i="1" s="1"/>
  <c r="L117" i="1"/>
  <c r="L118" i="1"/>
  <c r="K118" i="1"/>
  <c r="N118" i="1" s="1"/>
  <c r="J118" i="1"/>
  <c r="M118" i="1" s="1"/>
  <c r="K66" i="1"/>
  <c r="N66" i="1" s="1"/>
  <c r="L127" i="1"/>
  <c r="L81" i="1"/>
  <c r="K81" i="1"/>
  <c r="N81" i="1" s="1"/>
  <c r="J81" i="1"/>
  <c r="M81" i="1" s="1"/>
  <c r="L107" i="1"/>
  <c r="K107" i="1"/>
  <c r="N107" i="1" s="1"/>
  <c r="J107" i="1"/>
  <c r="M107" i="1" s="1"/>
  <c r="L66" i="1"/>
  <c r="K112" i="1"/>
  <c r="N112" i="1" s="1"/>
  <c r="K121" i="1"/>
  <c r="N121" i="1" s="1"/>
  <c r="J134" i="1"/>
  <c r="M134" i="1" s="1"/>
  <c r="J112" i="1"/>
  <c r="M112" i="1" s="1"/>
  <c r="K134" i="1"/>
  <c r="N134" i="1" s="1"/>
  <c r="AK173" i="1"/>
  <c r="I75" i="1"/>
  <c r="AB84" i="1" s="1"/>
  <c r="CN6" i="1"/>
  <c r="I143" i="1"/>
  <c r="AK182" i="1"/>
  <c r="I84" i="1"/>
  <c r="AK207" i="1"/>
  <c r="I109" i="1"/>
  <c r="I125" i="1"/>
  <c r="AB94" i="1" s="1"/>
  <c r="AK248" i="1"/>
  <c r="I150" i="1"/>
  <c r="AB99" i="1" s="1"/>
  <c r="I101" i="1"/>
  <c r="AK181" i="1"/>
  <c r="I83" i="1"/>
  <c r="BL169" i="1"/>
  <c r="E40" i="1" s="1"/>
  <c r="FB6" i="1" s="1"/>
  <c r="CO6" i="1"/>
  <c r="I135" i="1"/>
  <c r="AB96" i="1" s="1"/>
  <c r="AK192" i="1"/>
  <c r="I94" i="1"/>
  <c r="AK258" i="1"/>
  <c r="I160" i="1"/>
  <c r="AB101" i="1" s="1"/>
  <c r="I152" i="1"/>
  <c r="I71" i="1"/>
  <c r="AK172" i="1"/>
  <c r="I74" i="1"/>
  <c r="I151" i="1"/>
  <c r="AL199" i="1"/>
  <c r="U76" i="1"/>
  <c r="DG6" i="1"/>
  <c r="Q66" i="1"/>
  <c r="Q67" i="1" s="1"/>
  <c r="I122" i="1"/>
  <c r="L121" i="1"/>
  <c r="AL194" i="1"/>
  <c r="AL198" i="1"/>
  <c r="AL192" i="1"/>
  <c r="AL242" i="1"/>
  <c r="AL241" i="1"/>
  <c r="AL193" i="1"/>
  <c r="AL196" i="1"/>
  <c r="I149" i="1"/>
  <c r="AK247" i="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I102" i="1"/>
  <c r="I137" i="1"/>
  <c r="I123" i="1"/>
  <c r="I69" i="1"/>
  <c r="I156" i="1"/>
  <c r="I163" i="1"/>
  <c r="L163" i="1" s="1"/>
  <c r="I147" i="1"/>
  <c r="I138" i="1"/>
  <c r="I91" i="1"/>
  <c r="I140" i="1"/>
  <c r="AB97" i="1" s="1"/>
  <c r="I159" i="1"/>
  <c r="AK257" i="1"/>
  <c r="I99" i="1"/>
  <c r="AK197" i="1"/>
  <c r="I87" i="1"/>
  <c r="AK185" i="1"/>
  <c r="I161" i="1"/>
  <c r="AK259" i="1"/>
  <c r="I106" i="1"/>
  <c r="AK204" i="1"/>
  <c r="I139" i="1"/>
  <c r="AK237" i="1"/>
  <c r="AG40" i="1"/>
  <c r="AH40" i="1"/>
  <c r="AC40" i="1"/>
  <c r="Y40" i="1"/>
  <c r="X40" i="1"/>
  <c r="Z40" i="1"/>
  <c r="AF40" i="1"/>
  <c r="AE40" i="1"/>
  <c r="AD40" i="1"/>
  <c r="BL211" i="1"/>
  <c r="BU211" i="1"/>
  <c r="BN211" i="1"/>
  <c r="J103" i="1"/>
  <c r="M103" i="1" s="1"/>
  <c r="K103" i="1"/>
  <c r="N103" i="1" s="1"/>
  <c r="AU219" i="1"/>
  <c r="BB219" i="1"/>
  <c r="AS211" i="1"/>
  <c r="AZ219" i="1"/>
  <c r="BA219" i="1"/>
  <c r="AX219" i="1"/>
  <c r="AS219" i="1"/>
  <c r="AS213" i="1"/>
  <c r="AS215" i="1" s="1"/>
  <c r="BC219" i="1"/>
  <c r="AV219" i="1"/>
  <c r="AY219" i="1"/>
  <c r="AT219" i="1"/>
  <c r="BO211" i="1"/>
  <c r="BD211" i="1"/>
  <c r="J113" i="1"/>
  <c r="M113" i="1" s="1"/>
  <c r="K72" i="1"/>
  <c r="N72" i="1" s="1"/>
  <c r="J72" i="1"/>
  <c r="M72" i="1" s="1"/>
  <c r="K113" i="1"/>
  <c r="N113" i="1" s="1"/>
  <c r="L111" i="1"/>
  <c r="BM201" i="1"/>
  <c r="F51" i="1" s="1"/>
  <c r="AV201" i="1"/>
  <c r="J111" i="1"/>
  <c r="M111" i="1" s="1"/>
  <c r="K78" i="1"/>
  <c r="N78" i="1" s="1"/>
  <c r="J93" i="1"/>
  <c r="M93" i="1" s="1"/>
  <c r="L93" i="1"/>
  <c r="J117" i="1"/>
  <c r="M117" i="1" s="1"/>
  <c r="K117" i="1"/>
  <c r="N117" i="1" s="1"/>
  <c r="L136" i="1"/>
  <c r="K136" i="1"/>
  <c r="N136" i="1" s="1"/>
  <c r="J78" i="1"/>
  <c r="M78" i="1" s="1"/>
  <c r="AV200" i="1"/>
  <c r="J96" i="1"/>
  <c r="M96" i="1" s="1"/>
  <c r="L96" i="1"/>
  <c r="K132" i="1"/>
  <c r="N132" i="1" s="1"/>
  <c r="AB60" i="1"/>
  <c r="J132" i="1"/>
  <c r="M132" i="1" s="1"/>
  <c r="L129" i="1"/>
  <c r="Z60" i="1"/>
  <c r="K129" i="1"/>
  <c r="N129" i="1" s="1"/>
  <c r="L141" i="1"/>
  <c r="K141" i="1"/>
  <c r="N141" i="1" s="1"/>
  <c r="J141" i="1"/>
  <c r="M141" i="1" s="1"/>
  <c r="L131" i="1"/>
  <c r="K131" i="1"/>
  <c r="N131" i="1" s="1"/>
  <c r="J131" i="1"/>
  <c r="M131" i="1" s="1"/>
  <c r="L68" i="1"/>
  <c r="K68" i="1"/>
  <c r="N68" i="1" s="1"/>
  <c r="J68" i="1"/>
  <c r="M68" i="1" s="1"/>
  <c r="L146" i="1"/>
  <c r="J146" i="1"/>
  <c r="M146" i="1" s="1"/>
  <c r="K146" i="1"/>
  <c r="N146" i="1" s="1"/>
  <c r="L133" i="1"/>
  <c r="K133" i="1"/>
  <c r="N133" i="1" s="1"/>
  <c r="J133" i="1"/>
  <c r="M133" i="1" s="1"/>
  <c r="L158" i="1"/>
  <c r="J158" i="1"/>
  <c r="M158" i="1" s="1"/>
  <c r="K158" i="1"/>
  <c r="N158" i="1" s="1"/>
  <c r="L162" i="1"/>
  <c r="K162" i="1"/>
  <c r="N162" i="1" s="1"/>
  <c r="J162" i="1"/>
  <c r="M162" i="1" s="1"/>
  <c r="L119" i="1"/>
  <c r="K119" i="1"/>
  <c r="N119" i="1" s="1"/>
  <c r="J119" i="1"/>
  <c r="M119" i="1" s="1"/>
  <c r="L142" i="1"/>
  <c r="J142" i="1"/>
  <c r="M142" i="1" s="1"/>
  <c r="K142" i="1"/>
  <c r="N142" i="1" s="1"/>
  <c r="L153" i="1"/>
  <c r="K153" i="1"/>
  <c r="N153" i="1" s="1"/>
  <c r="J153" i="1"/>
  <c r="M153" i="1" s="1"/>
  <c r="L144" i="1"/>
  <c r="J144" i="1"/>
  <c r="M144" i="1" s="1"/>
  <c r="K144" i="1"/>
  <c r="N144" i="1" s="1"/>
  <c r="K126" i="1"/>
  <c r="N126" i="1" s="1"/>
  <c r="L126" i="1"/>
  <c r="J126" i="1"/>
  <c r="M126" i="1" s="1"/>
  <c r="L67" i="1"/>
  <c r="K67" i="1"/>
  <c r="N67" i="1" s="1"/>
  <c r="J67" i="1"/>
  <c r="M67" i="1" s="1"/>
  <c r="L128" i="1"/>
  <c r="K128" i="1"/>
  <c r="N128" i="1" s="1"/>
  <c r="J128" i="1"/>
  <c r="M128"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W65" i="1" l="1"/>
  <c r="DL6" i="1" s="1"/>
  <c r="L145" i="1"/>
  <c r="J80" i="1"/>
  <c r="M80" i="1" s="1"/>
  <c r="K80" i="1"/>
  <c r="N80" i="1" s="1"/>
  <c r="L90" i="1"/>
  <c r="J100" i="1"/>
  <c r="M100" i="1" s="1"/>
  <c r="L100" i="1"/>
  <c r="J145" i="1"/>
  <c r="M145" i="1" s="1"/>
  <c r="K130" i="1"/>
  <c r="N130" i="1" s="1"/>
  <c r="L130" i="1"/>
  <c r="J90" i="1"/>
  <c r="M90" i="1" s="1"/>
  <c r="K90" i="1"/>
  <c r="N90" i="1" s="1"/>
  <c r="J130" i="1"/>
  <c r="M130" i="1" s="1"/>
  <c r="K100" i="1"/>
  <c r="N100" i="1" s="1"/>
  <c r="J105" i="1"/>
  <c r="M105" i="1" s="1"/>
  <c r="L65" i="1"/>
  <c r="K65" i="1"/>
  <c r="N65" i="1" s="1"/>
  <c r="L95" i="1"/>
  <c r="K115" i="1"/>
  <c r="N115" i="1" s="1"/>
  <c r="L115" i="1"/>
  <c r="L80" i="1"/>
  <c r="J115" i="1"/>
  <c r="M115" i="1" s="1"/>
  <c r="K110" i="1"/>
  <c r="N110" i="1" s="1"/>
  <c r="K70" i="1"/>
  <c r="N70" i="1" s="1"/>
  <c r="L105" i="1"/>
  <c r="J65" i="1"/>
  <c r="M65" i="1" s="1"/>
  <c r="J85" i="1"/>
  <c r="M85" i="1" s="1"/>
  <c r="L85" i="1"/>
  <c r="J70" i="1"/>
  <c r="M70" i="1" s="1"/>
  <c r="J110" i="1"/>
  <c r="M110" i="1" s="1"/>
  <c r="K85" i="1"/>
  <c r="N85" i="1" s="1"/>
  <c r="K95" i="1"/>
  <c r="N95" i="1" s="1"/>
  <c r="J95" i="1"/>
  <c r="M95" i="1" s="1"/>
  <c r="K105" i="1"/>
  <c r="N105" i="1" s="1"/>
  <c r="L110" i="1"/>
  <c r="K145" i="1"/>
  <c r="N145" i="1" s="1"/>
  <c r="J165" i="1"/>
  <c r="M165" i="1" s="1"/>
  <c r="AB102" i="1"/>
  <c r="L70"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L137" i="1"/>
  <c r="O142" i="1"/>
  <c r="J152" i="1"/>
  <c r="M152" i="1" s="1"/>
  <c r="O157" i="1"/>
  <c r="O88" i="1"/>
  <c r="O89" i="1"/>
  <c r="J114" i="1"/>
  <c r="M114" i="1" s="1"/>
  <c r="O119" i="1"/>
  <c r="J82" i="1"/>
  <c r="M82" i="1" s="1"/>
  <c r="O87" i="1"/>
  <c r="O149" i="1"/>
  <c r="O118" i="1"/>
  <c r="O132" i="1"/>
  <c r="O72" i="1"/>
  <c r="O131" i="1"/>
  <c r="O136" i="1"/>
  <c r="L91" i="1"/>
  <c r="O96" i="1"/>
  <c r="O107" i="1"/>
  <c r="O165" i="1"/>
  <c r="L76" i="1"/>
  <c r="O81" i="1"/>
  <c r="O75" i="1"/>
  <c r="O139" i="1"/>
  <c r="O109" i="1"/>
  <c r="O137" i="1"/>
  <c r="O70" i="1"/>
  <c r="O150" i="1"/>
  <c r="O146" i="1"/>
  <c r="O143" i="1"/>
  <c r="O93" i="1"/>
  <c r="O106" i="1"/>
  <c r="O148" i="1"/>
  <c r="L154" i="1"/>
  <c r="O159" i="1"/>
  <c r="L108" i="1"/>
  <c r="O113" i="1"/>
  <c r="O138" i="1"/>
  <c r="O133" i="1"/>
  <c r="O78" i="1"/>
  <c r="O65" i="1"/>
  <c r="O117" i="1"/>
  <c r="O92" i="1"/>
  <c r="O152" i="1"/>
  <c r="O99" i="1"/>
  <c r="O155" i="1"/>
  <c r="K98" i="1"/>
  <c r="N98" i="1" s="1"/>
  <c r="O103" i="1"/>
  <c r="J120" i="1"/>
  <c r="M120" i="1" s="1"/>
  <c r="O125" i="1"/>
  <c r="L97" i="1"/>
  <c r="O102" i="1"/>
  <c r="O121" i="1"/>
  <c r="O126" i="1"/>
  <c r="O98" i="1"/>
  <c r="O122" i="1"/>
  <c r="O66" i="1"/>
  <c r="O108" i="1"/>
  <c r="O73" i="1"/>
  <c r="J151" i="1"/>
  <c r="M151" i="1" s="1"/>
  <c r="O156" i="1"/>
  <c r="O80" i="1"/>
  <c r="L86" i="1"/>
  <c r="O91" i="1"/>
  <c r="K124" i="1"/>
  <c r="N124" i="1" s="1"/>
  <c r="O129" i="1"/>
  <c r="O90" i="1"/>
  <c r="O67" i="1"/>
  <c r="O147" i="1"/>
  <c r="O124" i="1"/>
  <c r="O144" i="1"/>
  <c r="O104" i="1"/>
  <c r="O161" i="1"/>
  <c r="O79" i="1"/>
  <c r="L135" i="1"/>
  <c r="O140" i="1"/>
  <c r="O130" i="1"/>
  <c r="J92" i="1"/>
  <c r="M92" i="1" s="1"/>
  <c r="O97" i="1"/>
  <c r="J79" i="1"/>
  <c r="M79" i="1" s="1"/>
  <c r="O84" i="1"/>
  <c r="O110" i="1"/>
  <c r="O86" i="1"/>
  <c r="O120" i="1"/>
  <c r="O115" i="1"/>
  <c r="O163" i="1"/>
  <c r="O68" i="1"/>
  <c r="O85" i="1"/>
  <c r="O105" i="1"/>
  <c r="AA60" i="1"/>
  <c r="AD60" i="1"/>
  <c r="J97" i="1"/>
  <c r="M97" i="1" s="1"/>
  <c r="L148" i="1"/>
  <c r="K97" i="1"/>
  <c r="N97" i="1" s="1"/>
  <c r="K148" i="1"/>
  <c r="N148" i="1" s="1"/>
  <c r="K76" i="1"/>
  <c r="N76" i="1" s="1"/>
  <c r="J76" i="1"/>
  <c r="M76" i="1" s="1"/>
  <c r="J164" i="1"/>
  <c r="M164" i="1" s="1"/>
  <c r="K164" i="1"/>
  <c r="N164" i="1" s="1"/>
  <c r="J89" i="1"/>
  <c r="M89" i="1" s="1"/>
  <c r="L89" i="1"/>
  <c r="L92" i="1"/>
  <c r="L124" i="1"/>
  <c r="K154" i="1"/>
  <c r="N154" i="1" s="1"/>
  <c r="K108" i="1"/>
  <c r="N108" i="1" s="1"/>
  <c r="J108" i="1"/>
  <c r="M108" i="1" s="1"/>
  <c r="J154" i="1"/>
  <c r="M154" i="1" s="1"/>
  <c r="L120" i="1"/>
  <c r="K120" i="1"/>
  <c r="N120" i="1" s="1"/>
  <c r="K92" i="1"/>
  <c r="N92" i="1" s="1"/>
  <c r="J124" i="1"/>
  <c r="M124" i="1" s="1"/>
  <c r="L114" i="1"/>
  <c r="K82" i="1"/>
  <c r="N82" i="1" s="1"/>
  <c r="L82" i="1"/>
  <c r="AM211" i="1"/>
  <c r="AM213" i="1"/>
  <c r="K114" i="1"/>
  <c r="N114" i="1" s="1"/>
  <c r="L79" i="1"/>
  <c r="K79" i="1"/>
  <c r="N79" i="1" s="1"/>
  <c r="L77" i="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L98" i="1"/>
  <c r="C155" i="1"/>
  <c r="F155" i="1" s="1"/>
  <c r="C165" i="1"/>
  <c r="F165" i="1" s="1"/>
  <c r="J98" i="1"/>
  <c r="M98" i="1" s="1"/>
  <c r="L165" i="1"/>
  <c r="L155" i="1"/>
  <c r="J155" i="1"/>
  <c r="M155" i="1" s="1"/>
  <c r="K151" i="1"/>
  <c r="N151" i="1" s="1"/>
  <c r="L151" i="1"/>
  <c r="C151" i="1"/>
  <c r="F151" i="1" s="1"/>
  <c r="C135" i="1"/>
  <c r="F135" i="1" s="1"/>
  <c r="W40" i="1"/>
  <c r="Q70" i="1"/>
  <c r="C152" i="1"/>
  <c r="F152" i="1" s="1"/>
  <c r="CP6" i="1"/>
  <c r="K109" i="1"/>
  <c r="N109" i="1" s="1"/>
  <c r="L109" i="1"/>
  <c r="J109" i="1"/>
  <c r="M109" i="1" s="1"/>
  <c r="L122" i="1"/>
  <c r="K122" i="1"/>
  <c r="N122" i="1" s="1"/>
  <c r="J122" i="1"/>
  <c r="M122" i="1" s="1"/>
  <c r="L71" i="1"/>
  <c r="J71" i="1"/>
  <c r="M71" i="1" s="1"/>
  <c r="K71" i="1"/>
  <c r="N71" i="1" s="1"/>
  <c r="L152" i="1"/>
  <c r="K152" i="1"/>
  <c r="N152" i="1" s="1"/>
  <c r="L83" i="1"/>
  <c r="J83" i="1"/>
  <c r="M83" i="1" s="1"/>
  <c r="K83" i="1"/>
  <c r="N83" i="1" s="1"/>
  <c r="L84" i="1"/>
  <c r="J84" i="1"/>
  <c r="M84" i="1" s="1"/>
  <c r="K84" i="1"/>
  <c r="N84" i="1" s="1"/>
  <c r="AM234" i="1"/>
  <c r="AM254" i="1"/>
  <c r="L160" i="1"/>
  <c r="J160" i="1"/>
  <c r="M160" i="1" s="1"/>
  <c r="K160" i="1"/>
  <c r="N160" i="1" s="1"/>
  <c r="AM257" i="1"/>
  <c r="AM218" i="1"/>
  <c r="DH6" i="1"/>
  <c r="R67" i="1"/>
  <c r="K101" i="1"/>
  <c r="N101" i="1" s="1"/>
  <c r="J101" i="1"/>
  <c r="M101" i="1" s="1"/>
  <c r="L101" i="1"/>
  <c r="L143" i="1"/>
  <c r="K143" i="1"/>
  <c r="N143" i="1" s="1"/>
  <c r="J143" i="1"/>
  <c r="M143" i="1" s="1"/>
  <c r="J94" i="1"/>
  <c r="M94" i="1" s="1"/>
  <c r="K94" i="1"/>
  <c r="N94" i="1" s="1"/>
  <c r="L94" i="1"/>
  <c r="L150" i="1"/>
  <c r="K150" i="1"/>
  <c r="N150" i="1" s="1"/>
  <c r="J150" i="1"/>
  <c r="M150" i="1" s="1"/>
  <c r="J75" i="1"/>
  <c r="M75" i="1" s="1"/>
  <c r="L75" i="1"/>
  <c r="K75" i="1"/>
  <c r="N75" i="1" s="1"/>
  <c r="AM180" i="1"/>
  <c r="J74" i="1"/>
  <c r="M74" i="1" s="1"/>
  <c r="L74" i="1"/>
  <c r="K74" i="1"/>
  <c r="N74" i="1" s="1"/>
  <c r="J135" i="1"/>
  <c r="M135" i="1" s="1"/>
  <c r="K135" i="1"/>
  <c r="N135" i="1" s="1"/>
  <c r="L125" i="1"/>
  <c r="K125" i="1"/>
  <c r="N125" i="1" s="1"/>
  <c r="J125" i="1"/>
  <c r="M125" i="1" s="1"/>
  <c r="AM258" i="1"/>
  <c r="AM252" i="1"/>
  <c r="AM216" i="1"/>
  <c r="AM179" i="1"/>
  <c r="AM256" i="1"/>
  <c r="AM193" i="1"/>
  <c r="AM196" i="1"/>
  <c r="L149" i="1"/>
  <c r="K149" i="1"/>
  <c r="N149" i="1" s="1"/>
  <c r="J149" i="1"/>
  <c r="M149" i="1" s="1"/>
  <c r="AM219" i="1"/>
  <c r="AM220" i="1"/>
  <c r="AM222" i="1"/>
  <c r="AM212" i="1"/>
  <c r="C91" i="1"/>
  <c r="F91" i="1" s="1"/>
  <c r="J140" i="1"/>
  <c r="M140" i="1" s="1"/>
  <c r="K140" i="1"/>
  <c r="N140" i="1" s="1"/>
  <c r="J147" i="1"/>
  <c r="M147" i="1" s="1"/>
  <c r="K147" i="1"/>
  <c r="N147" i="1" s="1"/>
  <c r="K123" i="1"/>
  <c r="N123" i="1" s="1"/>
  <c r="J123" i="1"/>
  <c r="M123" i="1" s="1"/>
  <c r="L140" i="1"/>
  <c r="L147" i="1"/>
  <c r="L123" i="1"/>
  <c r="C163" i="1"/>
  <c r="F163" i="1" s="1"/>
  <c r="C147" i="1"/>
  <c r="F147" i="1" s="1"/>
  <c r="J91" i="1"/>
  <c r="M91" i="1" s="1"/>
  <c r="K91" i="1"/>
  <c r="N91" i="1" s="1"/>
  <c r="J156" i="1"/>
  <c r="M156" i="1" s="1"/>
  <c r="K156" i="1"/>
  <c r="N156" i="1" s="1"/>
  <c r="K102" i="1"/>
  <c r="N102" i="1" s="1"/>
  <c r="J102" i="1"/>
  <c r="M102" i="1" s="1"/>
  <c r="K137" i="1"/>
  <c r="N137" i="1" s="1"/>
  <c r="J137" i="1"/>
  <c r="M137" i="1" s="1"/>
  <c r="L156" i="1"/>
  <c r="L102" i="1"/>
  <c r="C137" i="1"/>
  <c r="F137" i="1" s="1"/>
  <c r="K138" i="1"/>
  <c r="N138" i="1" s="1"/>
  <c r="J138" i="1"/>
  <c r="M138" i="1" s="1"/>
  <c r="K69" i="1"/>
  <c r="N69" i="1" s="1"/>
  <c r="L69" i="1"/>
  <c r="J69" i="1"/>
  <c r="M69" i="1" s="1"/>
  <c r="K88" i="1"/>
  <c r="N88" i="1" s="1"/>
  <c r="J88" i="1"/>
  <c r="M88" i="1" s="1"/>
  <c r="K163" i="1"/>
  <c r="N163" i="1" s="1"/>
  <c r="J163" i="1"/>
  <c r="M163" i="1" s="1"/>
  <c r="C140" i="1"/>
  <c r="F140" i="1" s="1"/>
  <c r="L138" i="1"/>
  <c r="L88" i="1"/>
  <c r="L161" i="1"/>
  <c r="J161" i="1"/>
  <c r="M161" i="1" s="1"/>
  <c r="K161" i="1"/>
  <c r="N161" i="1" s="1"/>
  <c r="J87" i="1"/>
  <c r="M87" i="1" s="1"/>
  <c r="K87" i="1"/>
  <c r="N87" i="1" s="1"/>
  <c r="J139" i="1"/>
  <c r="M139" i="1" s="1"/>
  <c r="K139" i="1"/>
  <c r="N139" i="1" s="1"/>
  <c r="L99" i="1"/>
  <c r="K99" i="1"/>
  <c r="N99" i="1" s="1"/>
  <c r="J99" i="1"/>
  <c r="M99" i="1" s="1"/>
  <c r="L106" i="1"/>
  <c r="K106" i="1"/>
  <c r="N106" i="1" s="1"/>
  <c r="J106" i="1"/>
  <c r="M106" i="1" s="1"/>
  <c r="L87" i="1"/>
  <c r="L159" i="1"/>
  <c r="J159" i="1"/>
  <c r="M159" i="1" s="1"/>
  <c r="K159" i="1"/>
  <c r="N159" i="1" s="1"/>
  <c r="L139" i="1"/>
  <c r="AB40" i="1"/>
  <c r="BE174" i="1"/>
  <c r="BE175" i="1" s="1"/>
  <c r="CM6" i="1"/>
  <c r="BA174" i="1"/>
  <c r="W66" i="1" s="1"/>
  <c r="BC174" i="1"/>
  <c r="DK6" i="1"/>
  <c r="G23" i="1"/>
  <c r="U67" i="1" l="1"/>
  <c r="W61" i="1" s="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I81" i="1" l="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<sst xmlns="http://schemas.openxmlformats.org/spreadsheetml/2006/main" count="805" uniqueCount="321">
  <si>
    <t>Power</t>
  </si>
  <si>
    <t>Pmax</t>
  </si>
  <si>
    <t>F0</t>
  </si>
  <si>
    <t>ID</t>
  </si>
  <si>
    <t>Exercise</t>
  </si>
  <si>
    <t>m/s</t>
  </si>
  <si>
    <t>W</t>
  </si>
  <si>
    <t>V</t>
  </si>
  <si>
    <t>P</t>
  </si>
  <si>
    <t>Fopt</t>
  </si>
  <si>
    <t>Vopt</t>
  </si>
  <si>
    <t>Date</t>
  </si>
  <si>
    <t>Date:</t>
  </si>
  <si>
    <t xml:space="preserve">Evaluation:   </t>
  </si>
  <si>
    <t>Name</t>
  </si>
  <si>
    <r>
      <t>P</t>
    </r>
    <r>
      <rPr>
        <b/>
        <vertAlign val="subscript"/>
        <sz val="18"/>
        <color theme="0"/>
        <rFont val="Arial Narrow"/>
        <family val="2"/>
      </rPr>
      <t>max</t>
    </r>
  </si>
  <si>
    <r>
      <t>V</t>
    </r>
    <r>
      <rPr>
        <b/>
        <vertAlign val="subscript"/>
        <sz val="18"/>
        <color theme="0"/>
        <rFont val="Arial Narrow"/>
        <family val="2"/>
      </rPr>
      <t>opt</t>
    </r>
  </si>
  <si>
    <t>Variable</t>
  </si>
  <si>
    <t>V meas</t>
  </si>
  <si>
    <t xml:space="preserve">V meas  </t>
  </si>
  <si>
    <t>V pred</t>
  </si>
  <si>
    <t>%F0</t>
  </si>
  <si>
    <t>ISO</t>
  </si>
  <si>
    <t>F</t>
  </si>
  <si>
    <t>Load 1</t>
  </si>
  <si>
    <t>Load 2</t>
  </si>
  <si>
    <t>Load 3</t>
  </si>
  <si>
    <t>Load 4</t>
  </si>
  <si>
    <t>Load 5</t>
  </si>
  <si>
    <t>Load 6</t>
  </si>
  <si>
    <t>Load 7</t>
  </si>
  <si>
    <t>Load 8</t>
  </si>
  <si>
    <t>Load 9</t>
  </si>
  <si>
    <t xml:space="preserve">F-V </t>
  </si>
  <si>
    <t>P-V</t>
  </si>
  <si>
    <t>RESULT</t>
  </si>
  <si>
    <t>EQUATION</t>
  </si>
  <si>
    <t>Slope</t>
  </si>
  <si>
    <t>Constant</t>
  </si>
  <si>
    <t>R2</t>
  </si>
  <si>
    <t>V pred LL</t>
  </si>
  <si>
    <t>V pred UL</t>
  </si>
  <si>
    <t>P pred</t>
  </si>
  <si>
    <t>LINEAR (con celdas vacías)</t>
  </si>
  <si>
    <t>LINEAR (con celdas #N/D)</t>
  </si>
  <si>
    <t>P pred LL</t>
  </si>
  <si>
    <t>P pred UL</t>
  </si>
  <si>
    <t>INCLUDED</t>
  </si>
  <si>
    <t>PREDICTED</t>
  </si>
  <si>
    <t>DISCARDED</t>
  </si>
  <si>
    <t>Source</t>
  </si>
  <si>
    <t>RANGE &gt;45% F0</t>
  </si>
  <si>
    <t>Yes?</t>
  </si>
  <si>
    <t>STEP 1</t>
  </si>
  <si>
    <t>STEP 2</t>
  </si>
  <si>
    <t>STEP 3</t>
  </si>
  <si>
    <t>Theshold</t>
  </si>
  <si>
    <t>Diff Threshold</t>
  </si>
  <si>
    <t>Abs diff Threshold</t>
  </si>
  <si>
    <t>Use it</t>
  </si>
  <si>
    <t>THRESHOLD</t>
  </si>
  <si>
    <t>STEP 4</t>
  </si>
  <si>
    <t>HYBRID EQUATION</t>
  </si>
  <si>
    <t>a</t>
  </si>
  <si>
    <t>b</t>
  </si>
  <si>
    <t>Smooth</t>
  </si>
  <si>
    <t>k</t>
  </si>
  <si>
    <t>V0</t>
  </si>
  <si>
    <t>V0 linear</t>
  </si>
  <si>
    <t>Pmax linear</t>
  </si>
  <si>
    <t>F0 Hill</t>
  </si>
  <si>
    <t>Lower limit</t>
  </si>
  <si>
    <t>Upper limit</t>
  </si>
  <si>
    <t>Starting</t>
  </si>
  <si>
    <t>Result</t>
  </si>
  <si>
    <t>F0%</t>
  </si>
  <si>
    <t>V0%</t>
  </si>
  <si>
    <t>Pmax%</t>
  </si>
  <si>
    <t>Fopt linear</t>
  </si>
  <si>
    <t>Vopt linear</t>
  </si>
  <si>
    <t>SEE</t>
  </si>
  <si>
    <t>COMPARISON</t>
  </si>
  <si>
    <t>V measured</t>
  </si>
  <si>
    <t>V predicted</t>
  </si>
  <si>
    <t>Diff sq</t>
  </si>
  <si>
    <t>SE</t>
  </si>
  <si>
    <t>V0 lin</t>
  </si>
  <si>
    <t>F0 lin</t>
  </si>
  <si>
    <t>V LL</t>
  </si>
  <si>
    <t>P UL</t>
  </si>
  <si>
    <t>P LL</t>
  </si>
  <si>
    <t>V UL</t>
  </si>
  <si>
    <t>Pmax lin</t>
  </si>
  <si>
    <t>Vopt lin</t>
  </si>
  <si>
    <t>Fopt lin</t>
  </si>
  <si>
    <t>%V0</t>
  </si>
  <si>
    <t>%Pmax</t>
  </si>
  <si>
    <t>%V0 pred</t>
  </si>
  <si>
    <t>%V0 pred LL</t>
  </si>
  <si>
    <t>%V0 pred UL</t>
  </si>
  <si>
    <t>%Pmax pred</t>
  </si>
  <si>
    <t>%Pmax pred LL</t>
  </si>
  <si>
    <t>%Pmax pred UL</t>
  </si>
  <si>
    <t>%F0 lin</t>
  </si>
  <si>
    <t>STEP 5</t>
  </si>
  <si>
    <t>Load 10</t>
  </si>
  <si>
    <t>Load 11</t>
  </si>
  <si>
    <t>Load 12</t>
  </si>
  <si>
    <t>Load 13</t>
  </si>
  <si>
    <t>Load 14</t>
  </si>
  <si>
    <t>*INFO</t>
  </si>
  <si>
    <t>Diff Threshold (meas - pred)</t>
  </si>
  <si>
    <r>
      <t>V</t>
    </r>
    <r>
      <rPr>
        <b/>
        <vertAlign val="subscript"/>
        <sz val="18"/>
        <color theme="0"/>
        <rFont val="Calibri"/>
        <family val="2"/>
      </rPr>
      <t>0</t>
    </r>
  </si>
  <si>
    <t>Extra restrictions</t>
  </si>
  <si>
    <t>Change to more negative slope</t>
  </si>
  <si>
    <t>Tolerance</t>
  </si>
  <si>
    <t>Correct</t>
  </si>
  <si>
    <t>Change slope</t>
  </si>
  <si>
    <t>ALL</t>
  </si>
  <si>
    <t>Manual filter</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</si>
  <si>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</si>
  <si>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</si>
  <si>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</si>
  <si>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</si>
  <si>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</si>
  <si>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</si>
  <si>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</si>
  <si>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</si>
  <si>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</si>
  <si>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</si>
  <si>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</si>
  <si>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</si>
  <si>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</si>
  <si>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</si>
  <si>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</si>
  <si>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</si>
  <si>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</si>
  <si>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</si>
  <si>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</si>
  <si>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</si>
  <si>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</si>
  <si>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</si>
  <si>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a/F0*</t>
  </si>
  <si>
    <t>F0*</t>
  </si>
  <si>
    <t>V0_lin</t>
  </si>
  <si>
    <t>Pmax_lin</t>
  </si>
  <si>
    <t>Fopt_lin</t>
  </si>
  <si>
    <t>Vopt_lin</t>
  </si>
  <si>
    <t>F0_lin_all</t>
  </si>
  <si>
    <t>V0_lin_all</t>
  </si>
  <si>
    <t>Pmax_lin_all</t>
  </si>
  <si>
    <t>Fopt_lin_all</t>
  </si>
  <si>
    <t>Vopt_lin_all</t>
  </si>
  <si>
    <t>FVslope_lin_all</t>
  </si>
  <si>
    <t>FVslope</t>
  </si>
  <si>
    <t>R2_lin_all</t>
  </si>
  <si>
    <t>SE_lin_all</t>
  </si>
  <si>
    <t>SEE_lin_all</t>
  </si>
  <si>
    <t xml:space="preserve">Comments:  </t>
  </si>
  <si>
    <t>Hybrid</t>
  </si>
  <si>
    <t>TYPE OF ANALYSIS</t>
  </si>
  <si>
    <t>Pos change</t>
  </si>
  <si>
    <t>Neg. Change</t>
  </si>
  <si>
    <t>V_Hill</t>
  </si>
  <si>
    <t>V Hill</t>
  </si>
  <si>
    <t>F (%F0)</t>
  </si>
  <si>
    <t>Adjust Hill for F &lt; [¿?% F0]</t>
  </si>
  <si>
    <t>SEE Hill</t>
  </si>
  <si>
    <t>Activated</t>
  </si>
  <si>
    <t>Weights</t>
  </si>
  <si>
    <t>Hill</t>
  </si>
  <si>
    <t>Solver</t>
  </si>
  <si>
    <t>P predicted</t>
  </si>
  <si>
    <t>P measured</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</si>
  <si>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</si>
  <si>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</si>
  <si>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</si>
  <si>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</si>
  <si>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</si>
  <si>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</si>
  <si>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Min_F(%F0)_included</t>
  </si>
  <si>
    <t>Max_F(%F0)_included</t>
  </si>
  <si>
    <t>Min_V(%V0)_included</t>
  </si>
  <si>
    <t>Max_V(%V0)_included</t>
  </si>
  <si>
    <t>Range_F_included</t>
  </si>
  <si>
    <t>Range_V_included</t>
  </si>
  <si>
    <t>Load1_F</t>
  </si>
  <si>
    <t>Load1_V</t>
  </si>
  <si>
    <t>Load1_Included</t>
  </si>
  <si>
    <t>MIN</t>
  </si>
  <si>
    <t>MAX</t>
  </si>
  <si>
    <t>ISO_F</t>
  </si>
  <si>
    <t>ISO_V</t>
  </si>
  <si>
    <t>Load2_F</t>
  </si>
  <si>
    <t>Load3_F</t>
  </si>
  <si>
    <t>Load4_F</t>
  </si>
  <si>
    <t>Load5_F</t>
  </si>
  <si>
    <t>Load6_F</t>
  </si>
  <si>
    <t>Load7_F</t>
  </si>
  <si>
    <t>Load8_F</t>
  </si>
  <si>
    <t>Load9_F</t>
  </si>
  <si>
    <t>Load10_F</t>
  </si>
  <si>
    <t>Load11_F</t>
  </si>
  <si>
    <t>Load12_F</t>
  </si>
  <si>
    <t>Load13_F</t>
  </si>
  <si>
    <t>Load14_F</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</si>
  <si>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</si>
  <si>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</si>
  <si>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</si>
  <si>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</si>
  <si>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</si>
  <si>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</si>
  <si>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</si>
  <si>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</si>
  <si>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</si>
  <si>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</si>
  <si>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</si>
  <si>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</si>
  <si>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</si>
  <si>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</si>
  <si>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</si>
  <si>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</si>
  <si>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</si>
  <si>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</si>
  <si>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</si>
  <si>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</si>
  <si>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</si>
  <si>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</si>
  <si>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</si>
  <si>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</si>
  <si>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</si>
  <si>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</si>
  <si>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</si>
  <si>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</si>
  <si>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</si>
  <si>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</si>
  <si>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</si>
  <si>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</si>
  <si>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</si>
  <si>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</si>
  <si>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</si>
  <si>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</si>
  <si>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</si>
  <si>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Ext Load</t>
  </si>
  <si>
    <t>Select an Analysis:</t>
  </si>
  <si>
    <t>Set the goal</t>
  </si>
  <si>
    <t xml:space="preserve"> Power (W)</t>
  </si>
  <si>
    <t>Optional</t>
  </si>
  <si>
    <r>
      <t>Movement angle (</t>
    </r>
    <r>
      <rPr>
        <sz val="12"/>
        <color theme="1"/>
        <rFont val="Calibri"/>
        <family val="2"/>
      </rPr>
      <t>°</t>
    </r>
    <r>
      <rPr>
        <sz val="12"/>
        <color theme="1"/>
        <rFont val="Arial Narrow"/>
        <family val="2"/>
      </rPr>
      <t>)</t>
    </r>
  </si>
  <si>
    <r>
      <t>Additional mass (kg)</t>
    </r>
    <r>
      <rPr>
        <b/>
        <sz val="12"/>
        <color theme="1"/>
        <rFont val="Arial Narrow"/>
        <family val="2"/>
      </rPr>
      <t xml:space="preserve">                 </t>
    </r>
    <r>
      <rPr>
        <sz val="12"/>
        <color theme="1"/>
        <rFont val="Arial Narrow"/>
        <family val="2"/>
      </rPr>
      <t xml:space="preserve"> [e.g., barbell, leg press seat or sled]</t>
    </r>
  </si>
  <si>
    <t>Movement angle (°)</t>
  </si>
  <si>
    <t>None</t>
  </si>
  <si>
    <t>TEST</t>
  </si>
  <si>
    <t>Baseline</t>
  </si>
  <si>
    <r>
      <t>T</t>
    </r>
    <r>
      <rPr>
        <b/>
        <vertAlign val="subscript"/>
        <sz val="18"/>
        <color theme="0"/>
        <rFont val="Arial Narrow"/>
        <family val="2"/>
      </rPr>
      <t>0</t>
    </r>
    <r>
      <rPr>
        <b/>
        <sz val="18"/>
        <color theme="0"/>
        <rFont val="Arial Narrow"/>
        <family val="2"/>
      </rPr>
      <t xml:space="preserve"> (%)</t>
    </r>
  </si>
  <si>
    <t xml:space="preserve"> Torque (N·m)</t>
  </si>
  <si>
    <t>Torque (N·m)</t>
  </si>
  <si>
    <r>
      <t>Velocity (rad·s</t>
    </r>
    <r>
      <rPr>
        <b/>
        <vertAlign val="superscript"/>
        <sz val="14"/>
        <color theme="0"/>
        <rFont val="Arial Narrow"/>
        <family val="2"/>
      </rPr>
      <t>-1</t>
    </r>
    <r>
      <rPr>
        <b/>
        <sz val="14"/>
        <color theme="0"/>
        <rFont val="Arial Narrow"/>
        <family val="2"/>
      </rPr>
      <t>)</t>
    </r>
  </si>
  <si>
    <r>
      <t>Deviation (rad·s</t>
    </r>
    <r>
      <rPr>
        <b/>
        <vertAlign val="superscript"/>
        <sz val="14"/>
        <color theme="0"/>
        <rFont val="Arial Narrow"/>
        <family val="2"/>
      </rPr>
      <t>-1</t>
    </r>
    <r>
      <rPr>
        <b/>
        <sz val="14"/>
        <color theme="0"/>
        <rFont val="Arial Narrow"/>
        <family val="2"/>
      </rPr>
      <t>)</t>
    </r>
  </si>
  <si>
    <r>
      <t>Expected (rad·s</t>
    </r>
    <r>
      <rPr>
        <b/>
        <vertAlign val="superscript"/>
        <sz val="14"/>
        <color theme="0"/>
        <rFont val="Arial Narrow"/>
        <family val="2"/>
      </rPr>
      <t>-1</t>
    </r>
    <r>
      <rPr>
        <b/>
        <sz val="14"/>
        <color theme="0"/>
        <rFont val="Arial Narrow"/>
        <family val="2"/>
      </rPr>
      <t>)</t>
    </r>
  </si>
  <si>
    <r>
      <t>T</t>
    </r>
    <r>
      <rPr>
        <b/>
        <vertAlign val="subscript"/>
        <sz val="18"/>
        <color theme="0"/>
        <rFont val="Arial Narrow"/>
        <family val="2"/>
      </rPr>
      <t>0</t>
    </r>
  </si>
  <si>
    <t>Topt</t>
  </si>
  <si>
    <r>
      <t xml:space="preserve">TV </t>
    </r>
    <r>
      <rPr>
        <b/>
        <vertAlign val="subscript"/>
        <sz val="18"/>
        <color theme="0"/>
        <rFont val="Arial Narrow"/>
        <family val="2"/>
      </rPr>
      <t>slope</t>
    </r>
  </si>
  <si>
    <r>
      <t>a / T</t>
    </r>
    <r>
      <rPr>
        <b/>
        <vertAlign val="subscript"/>
        <sz val="18"/>
        <color theme="0"/>
        <rFont val="Arial Narrow"/>
        <family val="2"/>
      </rPr>
      <t>0</t>
    </r>
    <r>
      <rPr>
        <b/>
        <sz val="18"/>
        <color theme="0"/>
        <rFont val="Arial Narrow"/>
        <family val="2"/>
      </rPr>
      <t>*</t>
    </r>
  </si>
  <si>
    <t>Linear (0-100% T0)</t>
  </si>
  <si>
    <t>Linear (45-100% T0)</t>
  </si>
  <si>
    <t>Linear (45-100% T0) + Exclusion</t>
  </si>
  <si>
    <t>Linear equation applied to all recorded data above 45% T0.</t>
  </si>
  <si>
    <t>Linear equation applied to all recorded data above 45% T0 except those excluded based on their deviation below the expected values.</t>
  </si>
  <si>
    <t>100% T0</t>
  </si>
  <si>
    <t>95% T0</t>
  </si>
  <si>
    <t>90% T0</t>
  </si>
  <si>
    <t>85% T0</t>
  </si>
  <si>
    <t>80% T0</t>
  </si>
  <si>
    <t>75% T0</t>
  </si>
  <si>
    <t>70% T0</t>
  </si>
  <si>
    <t>65% T0</t>
  </si>
  <si>
    <t>60% T0</t>
  </si>
  <si>
    <t>55% T0</t>
  </si>
  <si>
    <t>50% T0</t>
  </si>
  <si>
    <t>45% T0</t>
  </si>
  <si>
    <t>40% T0</t>
  </si>
  <si>
    <t>35% T0</t>
  </si>
  <si>
    <t>30% T0</t>
  </si>
  <si>
    <t>25% T0</t>
  </si>
  <si>
    <t>20% T0</t>
  </si>
  <si>
    <t>15% T0</t>
  </si>
  <si>
    <t>10% T0</t>
  </si>
  <si>
    <t>5% T0</t>
  </si>
  <si>
    <t>0% T0</t>
  </si>
  <si>
    <t>-</t>
  </si>
  <si>
    <t>Calculate torque / velocity for training:</t>
  </si>
  <si>
    <r>
      <t>rad·s</t>
    </r>
    <r>
      <rPr>
        <vertAlign val="superscript"/>
        <sz val="16"/>
        <color theme="1"/>
        <rFont val="Arial Narrow"/>
        <family val="2"/>
      </rPr>
      <t>-1</t>
    </r>
  </si>
  <si>
    <t>N·m</t>
  </si>
  <si>
    <r>
      <t>Velocity (rad·s</t>
    </r>
    <r>
      <rPr>
        <vertAlign val="superscript"/>
        <sz val="16"/>
        <color theme="0"/>
        <rFont val="Arial Narrow"/>
        <family val="2"/>
      </rPr>
      <t>-1</t>
    </r>
    <r>
      <rPr>
        <sz val="16"/>
        <color theme="0"/>
        <rFont val="Arial Narrow"/>
        <family val="2"/>
      </rPr>
      <t>)</t>
    </r>
  </si>
  <si>
    <t>Min_T(%T0)_included</t>
  </si>
  <si>
    <t>Max_T(%T0)_included</t>
  </si>
  <si>
    <t>Range_T_included</t>
  </si>
  <si>
    <t>T0</t>
  </si>
  <si>
    <t>TVslope</t>
  </si>
  <si>
    <t>a/T0*</t>
  </si>
  <si>
    <t>T0*</t>
  </si>
  <si>
    <t>Topt_lin</t>
  </si>
  <si>
    <t>T0_lin_all</t>
  </si>
  <si>
    <t>Topt_lin_all</t>
  </si>
  <si>
    <t>TVslope_lin_all</t>
  </si>
  <si>
    <t>ISO_T</t>
  </si>
  <si>
    <t>Load1_T</t>
  </si>
  <si>
    <t>Load2_T</t>
  </si>
  <si>
    <t>Load3_T</t>
  </si>
  <si>
    <t>Load4_T</t>
  </si>
  <si>
    <t>Load5_T</t>
  </si>
  <si>
    <t>Load6_T</t>
  </si>
  <si>
    <t>Load7_T</t>
  </si>
  <si>
    <t>Load8_T</t>
  </si>
  <si>
    <t>Load9_T</t>
  </si>
  <si>
    <t>Load10_T</t>
  </si>
  <si>
    <t>Load11_T</t>
  </si>
  <si>
    <t>Load12_T</t>
  </si>
  <si>
    <t>Load13_T</t>
  </si>
  <si>
    <t>Load14_T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</si>
</sst>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39"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2">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164" fontId="6" fillId="2" borderId="22" xfId="0" applyNumberFormat="1" applyFont="1" applyFill="1" applyBorder="1" applyAlignment="1" applyProtection="1">
      <alignment horizontal="center" vertical="center"/>
      <protection hidden="1"/>
    </xf>
    <xf numFmtId="164" fontId="6" fillId="2" borderId="23" xfId="0" applyNumberFormat="1" applyFont="1" applyFill="1" applyBorder="1" applyAlignment="1" applyProtection="1">
      <alignment horizontal="center" vertical="center"/>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2" borderId="0" xfId="0" applyFont="1" applyFill="1" applyBorder="1" applyAlignment="1" applyProtection="1">
      <alignment horizontal="center" vertical="center"/>
      <protection locked="0"/>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0" fontId="7" fillId="5" borderId="2" xfId="0" applyFont="1" applyFill="1" applyBorder="1" applyAlignment="1" applyProtection="1">
      <alignment horizontal="center"/>
      <protection hidden="1"/>
    </xf>
    <xf numFmtId="2"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0" fontId="16" fillId="5" borderId="2" xfId="0" applyFont="1" applyFill="1" applyBorder="1" applyAlignment="1" applyProtection="1">
      <alignment horizontal="center"/>
      <protection hidden="1"/>
    </xf>
    <xf numFmtId="0" fontId="5" fillId="2" borderId="0" xfId="0" applyFont="1" applyFill="1" applyBorder="1" applyAlignment="1" applyProtection="1">
      <alignment horizontal="right" vertical="center"/>
      <protection hidden="1"/>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 fillId="4" borderId="21" xfId="0" applyFont="1" applyFill="1" applyBorder="1" applyAlignment="1" applyProtection="1">
      <alignment horizontal="left" vertical="center"/>
      <protection hidden="1"/>
    </xf>
    <xf numFmtId="0" fontId="3"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(rad·s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(N·m)</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(rad·s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Power (W)</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(%T</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13"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0.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38</xdr:row>
      <xdr:rowOff>19050</xdr:rowOff>
    </xdr:from>
    <xdr:to>
      <xdr:col>10</xdr:col>
      <xdr:colOff>180975</xdr:colOff>
      <xdr:row>42</xdr:row>
      <xdr:rowOff>8732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44</xdr:row>
      <xdr:rowOff>66674</xdr:rowOff>
    </xdr:from>
    <xdr:to>
      <xdr:col>10</xdr:col>
      <xdr:colOff>133350</xdr:colOff>
      <xdr:row>52</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38</xdr:row>
      <xdr:rowOff>38100</xdr:rowOff>
    </xdr:from>
    <xdr:to>
      <xdr:col>14</xdr:col>
      <xdr:colOff>590951</xdr:colOff>
      <xdr:row>41</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44</xdr:row>
      <xdr:rowOff>66675</xdr:rowOff>
    </xdr:from>
    <xdr:to>
      <xdr:col>14</xdr:col>
      <xdr:colOff>571500</xdr:colOff>
      <xdr:row>51</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54</xdr:row>
      <xdr:rowOff>19050</xdr:rowOff>
    </xdr:from>
    <xdr:to>
      <xdr:col>10</xdr:col>
      <xdr:colOff>180975</xdr:colOff>
      <xdr:row>70</xdr:row>
      <xdr:rowOff>48357</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72</xdr:row>
      <xdr:rowOff>57150</xdr:rowOff>
    </xdr:from>
    <xdr:to>
      <xdr:col>10</xdr:col>
      <xdr:colOff>180975</xdr:colOff>
      <xdr:row>82</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72</xdr:row>
      <xdr:rowOff>9525</xdr:rowOff>
    </xdr:from>
    <xdr:to>
      <xdr:col>17</xdr:col>
      <xdr:colOff>257175</xdr:colOff>
      <xdr:row>82</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53</xdr:row>
      <xdr:rowOff>142875</xdr:rowOff>
    </xdr:from>
    <xdr:to>
      <xdr:col>16</xdr:col>
      <xdr:colOff>466726</xdr:colOff>
      <xdr:row>70</xdr:row>
      <xdr:rowOff>19268</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84</xdr:row>
      <xdr:rowOff>38099</xdr:rowOff>
    </xdr:from>
    <xdr:to>
      <xdr:col>17</xdr:col>
      <xdr:colOff>381000</xdr:colOff>
      <xdr:row>96</xdr:row>
      <xdr:rowOff>135144</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41</xdr:row>
      <xdr:rowOff>114300</xdr:rowOff>
    </xdr:from>
    <xdr:to>
      <xdr:col>13</xdr:col>
      <xdr:colOff>95250</xdr:colOff>
      <xdr:row>43</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42</xdr:row>
      <xdr:rowOff>28575</xdr:rowOff>
    </xdr:from>
    <xdr:to>
      <xdr:col>5</xdr:col>
      <xdr:colOff>95250</xdr:colOff>
      <xdr:row>44</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70</xdr:row>
      <xdr:rowOff>47625</xdr:rowOff>
    </xdr:from>
    <xdr:to>
      <xdr:col>5</xdr:col>
      <xdr:colOff>114300</xdr:colOff>
      <xdr:row>72</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69</xdr:row>
      <xdr:rowOff>171450</xdr:rowOff>
    </xdr:from>
    <xdr:to>
      <xdr:col>13</xdr:col>
      <xdr:colOff>533400</xdr:colOff>
      <xdr:row>71</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97</xdr:row>
      <xdr:rowOff>57150</xdr:rowOff>
    </xdr:from>
    <xdr:to>
      <xdr:col>7</xdr:col>
      <xdr:colOff>85725</xdr:colOff>
      <xdr:row>99</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99</xdr:row>
      <xdr:rowOff>104775</xdr:rowOff>
    </xdr:from>
    <xdr:to>
      <xdr:col>13</xdr:col>
      <xdr:colOff>323850</xdr:colOff>
      <xdr:row>103</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97</xdr:row>
      <xdr:rowOff>0</xdr:rowOff>
    </xdr:from>
    <xdr:to>
      <xdr:col>15</xdr:col>
      <xdr:colOff>590550</xdr:colOff>
      <xdr:row>98</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99</xdr:row>
      <xdr:rowOff>104775</xdr:rowOff>
    </xdr:from>
    <xdr:to>
      <xdr:col>17</xdr:col>
      <xdr:colOff>333375</xdr:colOff>
      <xdr:row>109</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twoCellAnchor>
    <xdr:from>
      <xdr:col>3</xdr:col>
      <xdr:colOff>579967</xdr:colOff>
      <xdr:row>26</xdr:row>
      <xdr:rowOff>42333</xdr:rowOff>
    </xdr:from>
    <xdr:to>
      <xdr:col>11</xdr:col>
      <xdr:colOff>383605</xdr:colOff>
      <xdr:row>36</xdr:row>
      <xdr:rowOff>123419</xdr:rowOff>
    </xdr:to>
    <xdr:grpSp>
      <xdr:nvGrpSpPr>
        <xdr:cNvPr id="28" name="Grupo 27">
          <a:extLst>
            <a:ext uri="{FF2B5EF4-FFF2-40B4-BE49-F238E27FC236}">
              <a16:creationId xmlns:a16="http://schemas.microsoft.com/office/drawing/2014/main" id="{00000000-0008-0000-0000-00001C000000}"/>
            </a:ext>
          </a:extLst>
        </xdr:cNvPr>
        <xdr:cNvGrpSpPr/>
      </xdr:nvGrpSpPr>
      <xdr:grpSpPr>
        <a:xfrm>
          <a:off x="3061910" y="4853819"/>
          <a:ext cx="6422152" cy="1931657"/>
          <a:chOff x="3134946" y="4792458"/>
          <a:chExt cx="6407638" cy="1901419"/>
        </a:xfrm>
      </xdr:grpSpPr>
      <xdr:grpSp>
        <xdr:nvGrpSpPr>
          <xdr:cNvPr id="29" name="Grupo 28">
            <a:extLst>
              <a:ext uri="{FF2B5EF4-FFF2-40B4-BE49-F238E27FC236}">
                <a16:creationId xmlns:a16="http://schemas.microsoft.com/office/drawing/2014/main" id="{00000000-0008-0000-0000-00001D000000}"/>
              </a:ext>
            </a:extLst>
          </xdr:cNvPr>
          <xdr:cNvGrpSpPr/>
        </xdr:nvGrpSpPr>
        <xdr:grpSpPr>
          <a:xfrm>
            <a:off x="3134946" y="4792458"/>
            <a:ext cx="6407638" cy="1901419"/>
            <a:chOff x="63501" y="4745566"/>
            <a:chExt cx="6407638" cy="1872111"/>
          </a:xfrm>
        </xdr:grpSpPr>
        <xdr:sp macro="" textlink="">
          <xdr:nvSpPr>
            <xdr:cNvPr id="32" name="Rectángulo 31">
              <a:extLst>
                <a:ext uri="{FF2B5EF4-FFF2-40B4-BE49-F238E27FC236}">
                  <a16:creationId xmlns:a16="http://schemas.microsoft.com/office/drawing/2014/main" id="{00000000-0008-0000-0000-000020000000}"/>
                </a:ext>
              </a:extLst>
            </xdr:cNvPr>
            <xdr:cNvSpPr/>
          </xdr:nvSpPr>
          <xdr:spPr>
            <a:xfrm>
              <a:off x="63501" y="4745566"/>
              <a:ext cx="6407638" cy="1872111"/>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For best use of this tool, hide the Excel</a:t>
              </a:r>
              <a:r>
                <a:rPr lang="es-ES" sz="1100" baseline="0">
                  <a:solidFill>
                    <a:schemeClr val="tx1"/>
                  </a:solidFill>
                </a:rPr>
                <a:t> ribbon and</a:t>
              </a:r>
              <a:r>
                <a:rPr lang="es-ES" sz="1100">
                  <a:solidFill>
                    <a:schemeClr val="tx1"/>
                  </a:solidFill>
                </a:rPr>
                <a:t> adjust the zoom to the screen of your device.</a:t>
              </a:r>
            </a:p>
          </xdr:txBody>
        </xdr:sp>
        <xdr:pic>
          <xdr:nvPicPr>
            <xdr:cNvPr id="37" name="Imagen 36" descr="How to show, hide and restore missing ribbon in Excel">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68301" y="5147814"/>
              <a:ext cx="2555631" cy="132625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Imagen 37">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282462" y="5174409"/>
              <a:ext cx="2625970" cy="1318124"/>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30" name="Elipse 29">
            <a:extLst>
              <a:ext uri="{FF2B5EF4-FFF2-40B4-BE49-F238E27FC236}">
                <a16:creationId xmlns:a16="http://schemas.microsoft.com/office/drawing/2014/main" id="{00000000-0008-0000-0000-00001E000000}"/>
              </a:ext>
            </a:extLst>
          </xdr:cNvPr>
          <xdr:cNvSpPr/>
        </xdr:nvSpPr>
        <xdr:spPr>
          <a:xfrm>
            <a:off x="7397262" y="6230816"/>
            <a:ext cx="1617784" cy="43961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316523</xdr:colOff>
      <xdr:row>20</xdr:row>
      <xdr:rowOff>310662</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51615" y="6574678"/>
          <a:ext cx="1193754" cy="2891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rad·s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9.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7:A37"/>
  <sheetViews>
    <sheetView zoomScale="70" zoomScaleNormal="70" workbookViewId="0">
      <selection activeCell="B20" sqref="B20"/>
    </sheetView>
  </sheetViews>
  <sheetFormatPr baseColWidth="10" defaultColWidth="11.41796875" defaultRowHeight="14.4" x14ac:dyDescent="0.55000000000000004"/>
  <cols>
    <col min="1" max="16384" width="11.41796875" style="135"/>
  </cols>
  <sheetData>
    <row r="27" s="135" customFormat="1" x14ac:dyDescent="0.55000000000000004"/>
    <row r="28" s="135" customFormat="1" x14ac:dyDescent="0.55000000000000004"/>
    <row r="29" s="135" customFormat="1" x14ac:dyDescent="0.55000000000000004"/>
    <row r="30" s="135" customFormat="1" x14ac:dyDescent="0.55000000000000004"/>
    <row r="31" s="135" customFormat="1" x14ac:dyDescent="0.55000000000000004"/>
    <row r="32" s="135" customFormat="1" x14ac:dyDescent="0.55000000000000004"/>
    <row r="33" s="135" customFormat="1" x14ac:dyDescent="0.55000000000000004"/>
    <row r="34" s="135" customFormat="1" x14ac:dyDescent="0.55000000000000004"/>
    <row r="35" s="135" customFormat="1" x14ac:dyDescent="0.55000000000000004"/>
    <row r="36" s="135" customFormat="1" x14ac:dyDescent="0.55000000000000004"/>
    <row r="37" s="135" customFormat="1" x14ac:dyDescent="0.55000000000000004"/>
  </sheetData>
  <sheetProtection algorithmName="SHA-512" hashValue="WOL/8zve3hK8HCLRJ9uZqYOWPKTrsHTcD3voF5IaaUev5Qk9wQ6FVYjbq6sgo0eEb+o3Ep2K/TSzzjQlGFwd+Q==" saltValue="Db89a5C2edehbtqB8Q7SAg=="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2" customWidth="1"/>
    <col min="45" max="45" width="12.26171875" style="52" bestFit="1" customWidth="1"/>
    <col min="46" max="46" width="13.26171875" style="52" bestFit="1" customWidth="1"/>
    <col min="47" max="50" width="8.68359375" style="52" customWidth="1"/>
    <col min="51" max="51" width="12.68359375" style="52" bestFit="1" customWidth="1"/>
    <col min="52" max="58" width="8.68359375" style="52" customWidth="1"/>
    <col min="59" max="60" width="8.68359375" style="12" customWidth="1"/>
    <col min="61" max="61" width="25.83984375" style="12" bestFit="1" customWidth="1"/>
    <col min="62" max="62" width="13" style="12" bestFit="1" customWidth="1"/>
    <col min="63" max="63" width="13" style="52" bestFit="1" customWidth="1"/>
    <col min="64" max="77" width="8.68359375" style="52"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3</v>
      </c>
      <c r="B1" s="50"/>
      <c r="C1" s="11" t="s">
        <v>14</v>
      </c>
      <c r="D1" s="149"/>
      <c r="E1" s="149"/>
      <c r="F1" s="149"/>
      <c r="G1" s="11" t="s">
        <v>4</v>
      </c>
      <c r="H1" s="149"/>
      <c r="I1" s="149"/>
      <c r="J1" s="150" t="s">
        <v>178</v>
      </c>
      <c r="K1" s="150"/>
      <c r="L1" s="50"/>
      <c r="M1" s="150" t="s">
        <v>249</v>
      </c>
      <c r="N1" s="150"/>
      <c r="O1" s="150"/>
      <c r="P1" s="50"/>
      <c r="Q1" s="150" t="s">
        <v>241</v>
      </c>
      <c r="R1" s="150"/>
      <c r="S1" s="150"/>
      <c r="T1" s="50">
        <v>90</v>
      </c>
      <c r="W1" s="13"/>
      <c r="X1" s="14"/>
      <c r="AF1" s="51"/>
      <c r="AG1" s="51"/>
      <c r="AH1" s="51"/>
      <c r="AI1" s="51"/>
      <c r="AJ1" s="51"/>
      <c r="AK1" s="51"/>
      <c r="AR1" s="52"/>
      <c r="AS1" s="52"/>
      <c r="AT1" s="52"/>
      <c r="AU1" s="52"/>
      <c r="AV1" s="52"/>
      <c r="AW1" s="52"/>
      <c r="AX1" s="52"/>
      <c r="AY1" s="52"/>
      <c r="AZ1" s="52"/>
      <c r="BA1" s="52"/>
      <c r="BB1" s="52"/>
      <c r="BC1" s="52"/>
      <c r="BD1" s="52"/>
      <c r="BE1" s="52"/>
      <c r="BF1" s="52"/>
      <c r="BK1" s="52"/>
      <c r="BL1" s="52"/>
      <c r="BM1" s="52"/>
      <c r="BN1" s="52"/>
      <c r="BO1" s="52"/>
      <c r="BP1" s="52"/>
      <c r="BQ1" s="52"/>
      <c r="BR1" s="52"/>
      <c r="BS1" s="52"/>
      <c r="BT1" s="52"/>
      <c r="BU1" s="52"/>
      <c r="BV1" s="52"/>
      <c r="BW1" s="52"/>
      <c r="BX1" s="52"/>
      <c r="BY1" s="52"/>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2"/>
      <c r="AS2" s="52"/>
      <c r="AT2" s="52"/>
      <c r="AU2" s="52"/>
      <c r="AV2" s="52"/>
      <c r="AW2" s="52"/>
      <c r="AX2" s="52"/>
      <c r="AY2" s="52"/>
      <c r="AZ2" s="52"/>
      <c r="BA2" s="52"/>
      <c r="BB2" s="52"/>
      <c r="BC2" s="52"/>
      <c r="BD2" s="52"/>
      <c r="BE2" s="52"/>
      <c r="BF2" s="52"/>
      <c r="BK2" s="52"/>
      <c r="BL2" s="52"/>
      <c r="BM2" s="52"/>
      <c r="BN2" s="52"/>
      <c r="BO2" s="52"/>
      <c r="BP2" s="52"/>
      <c r="BQ2" s="52"/>
      <c r="BR2" s="52"/>
      <c r="BS2" s="52"/>
      <c r="BT2" s="52"/>
      <c r="BU2" s="52"/>
      <c r="BV2" s="52"/>
      <c r="BW2" s="52"/>
      <c r="BX2" s="52"/>
      <c r="BY2" s="52"/>
    </row>
    <row r="3" spans="1:230" ht="25" customHeight="1" x14ac:dyDescent="0.5">
      <c r="A3" s="205" t="s">
        <v>252</v>
      </c>
      <c r="B3" s="205"/>
      <c r="C3" s="19" t="s">
        <v>12</v>
      </c>
      <c r="D3" s="187"/>
      <c r="E3" s="188"/>
      <c r="F3" s="182" t="s">
        <v>13</v>
      </c>
      <c r="G3" s="182"/>
      <c r="H3" s="172"/>
      <c r="I3" s="173"/>
      <c r="J3" s="182" t="s">
        <v>158</v>
      </c>
      <c r="K3" s="182"/>
      <c r="L3" s="178"/>
      <c r="M3" s="179"/>
      <c r="N3" s="179"/>
      <c r="O3" s="179"/>
      <c r="P3" s="179"/>
      <c r="Q3" s="179"/>
      <c r="R3" s="179"/>
      <c r="S3" s="179"/>
      <c r="T3" s="179"/>
      <c r="U3" s="179"/>
      <c r="V3" s="179"/>
      <c r="W3" s="179"/>
      <c r="X3" s="179"/>
      <c r="Y3" s="179"/>
      <c r="Z3" s="179"/>
      <c r="AA3" s="179"/>
      <c r="AB3" s="180"/>
      <c r="AC3" s="20"/>
      <c r="AD3" s="20"/>
      <c r="AE3" s="20"/>
      <c r="AF3" s="20"/>
      <c r="AH3" s="12"/>
      <c r="AI3" s="12"/>
      <c r="AJ3" s="12"/>
      <c r="AK3" s="12"/>
      <c r="AL3" s="12"/>
      <c r="AM3" s="12"/>
      <c r="AN3" s="12"/>
      <c r="AO3" s="12"/>
      <c r="AP3" s="53" t="s">
        <v>60</v>
      </c>
      <c r="AR3" s="54">
        <v>0.8</v>
      </c>
      <c r="AT3" s="12" t="s">
        <v>110</v>
      </c>
    </row>
    <row r="4" spans="1:230" ht="20.100000000000001" customHeight="1" x14ac:dyDescent="0.5">
      <c r="O4" s="17"/>
      <c r="AC4" s="21"/>
      <c r="AH4" s="12"/>
      <c r="AI4" s="12"/>
      <c r="AJ4" s="12"/>
      <c r="AK4" s="12"/>
      <c r="AL4" s="12"/>
      <c r="AM4" s="12"/>
      <c r="AN4" s="12"/>
      <c r="AO4" s="12"/>
      <c r="AP4" s="55">
        <f>U19</f>
        <v>0.15</v>
      </c>
      <c r="AQ4" s="12" t="s">
        <v>5</v>
      </c>
      <c r="AR4" s="52">
        <f>AP4*AR3</f>
        <v>0.12</v>
      </c>
      <c r="AS4" s="52" t="s">
        <v>5</v>
      </c>
      <c r="CA4" s="125" t="s">
        <v>131</v>
      </c>
      <c r="CB4" s="126"/>
      <c r="CC4" s="126"/>
      <c r="CD4" s="126"/>
      <c r="CE4" s="126"/>
      <c r="CF4" s="126"/>
      <c r="CG4" s="126"/>
      <c r="CH4" s="126"/>
      <c r="CI4" s="126"/>
      <c r="CJ4" s="126"/>
      <c r="CK4" s="126"/>
      <c r="CL4" s="126"/>
      <c r="CM4" s="126"/>
      <c r="CN4" s="126"/>
      <c r="CO4" s="126"/>
      <c r="CP4" s="126"/>
      <c r="CQ4" s="126"/>
      <c r="CR4" s="126"/>
      <c r="CS4" s="126"/>
      <c r="CT4" s="126"/>
      <c r="CU4" s="126"/>
      <c r="CV4" s="127"/>
      <c r="CW4" s="127"/>
      <c r="CX4" s="127"/>
      <c r="CY4" s="127"/>
      <c r="CZ4" s="127"/>
      <c r="DA4" s="127"/>
      <c r="DB4" s="127"/>
      <c r="DC4" s="127"/>
      <c r="DD4" s="127"/>
      <c r="DE4" s="127"/>
      <c r="DF4" s="127"/>
      <c r="DG4" s="127"/>
      <c r="DH4" s="127"/>
      <c r="DI4" s="127"/>
      <c r="DJ4" s="127"/>
      <c r="DK4" s="127"/>
      <c r="DL4" s="127"/>
      <c r="DM4" s="127"/>
      <c r="DN4" s="127" t="s">
        <v>233</v>
      </c>
      <c r="DO4" s="127"/>
      <c r="DP4" s="127"/>
      <c r="DQ4" s="127"/>
      <c r="DR4" s="127"/>
      <c r="DS4" s="127"/>
      <c r="DT4" s="128"/>
      <c r="DU4" s="127"/>
      <c r="DV4" s="127"/>
      <c r="DW4" s="127"/>
      <c r="DX4" s="127"/>
      <c r="DY4" s="127"/>
      <c r="DZ4" s="127"/>
      <c r="EA4" s="127"/>
      <c r="EB4" s="127"/>
      <c r="EC4" s="127"/>
      <c r="ED4" s="127"/>
      <c r="EE4" s="127"/>
      <c r="EF4" s="128"/>
      <c r="EG4" s="127"/>
      <c r="EH4" s="127"/>
      <c r="EI4" s="127"/>
      <c r="EJ4" s="127"/>
      <c r="EK4" s="127"/>
      <c r="EL4" s="127"/>
      <c r="EM4" s="127"/>
      <c r="EN4" s="127"/>
      <c r="EO4" s="127"/>
      <c r="EP4" s="127"/>
      <c r="EQ4" s="127"/>
      <c r="ER4" s="127"/>
      <c r="ES4" s="127"/>
      <c r="ET4" s="127"/>
      <c r="EU4" s="127"/>
      <c r="EV4" s="127"/>
      <c r="EW4" s="127"/>
      <c r="EX4" s="127"/>
      <c r="EY4" s="127"/>
      <c r="EZ4" s="127"/>
      <c r="FA4" s="127"/>
      <c r="FB4" s="127"/>
      <c r="FC4" s="127"/>
      <c r="FD4" s="127"/>
      <c r="FE4" s="127"/>
      <c r="FF4" s="127"/>
      <c r="FG4" s="127"/>
      <c r="FH4" s="127"/>
      <c r="FI4" s="127"/>
      <c r="FJ4" s="127"/>
      <c r="FK4" s="127"/>
      <c r="FL4" s="127"/>
      <c r="FM4" s="127"/>
      <c r="FN4" s="127"/>
      <c r="FO4" s="127"/>
      <c r="FP4" s="127"/>
    </row>
    <row r="5" spans="1:230" ht="25" customHeight="1" thickBot="1" x14ac:dyDescent="1.25">
      <c r="A5" s="211" t="s">
        <v>254</v>
      </c>
      <c r="B5" s="211"/>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22</v>
      </c>
      <c r="R5" s="23"/>
      <c r="S5" s="152" t="s">
        <v>260</v>
      </c>
      <c r="T5" s="152"/>
      <c r="U5" s="156" t="s">
        <v>112</v>
      </c>
      <c r="V5" s="156"/>
      <c r="W5" s="152" t="s">
        <v>15</v>
      </c>
      <c r="X5" s="152"/>
      <c r="Y5" s="181" t="s">
        <v>261</v>
      </c>
      <c r="Z5" s="152"/>
      <c r="AA5" s="152" t="s">
        <v>16</v>
      </c>
      <c r="AB5" s="152"/>
      <c r="AC5" s="21"/>
      <c r="AH5" s="12"/>
      <c r="AI5" s="12"/>
      <c r="AJ5" s="12"/>
      <c r="AK5" s="12"/>
      <c r="AL5" s="12"/>
      <c r="AM5" s="12"/>
      <c r="AN5" s="12"/>
      <c r="AP5" s="12" t="s">
        <v>177</v>
      </c>
      <c r="AR5" s="116" t="b">
        <v>0</v>
      </c>
      <c r="AS5" s="116" t="b">
        <v>0</v>
      </c>
      <c r="AT5" s="116" t="b">
        <v>0</v>
      </c>
      <c r="AU5" s="116" t="b">
        <v>0</v>
      </c>
      <c r="AV5" s="116" t="b">
        <v>0</v>
      </c>
      <c r="AW5" s="116" t="b">
        <v>0</v>
      </c>
      <c r="AX5" s="116" t="b">
        <v>0</v>
      </c>
      <c r="AY5" s="116" t="b">
        <v>0</v>
      </c>
      <c r="AZ5" s="116" t="b">
        <v>0</v>
      </c>
      <c r="BA5" s="116" t="b">
        <v>0</v>
      </c>
      <c r="BB5" s="116" t="b">
        <v>0</v>
      </c>
      <c r="BC5" s="116" t="b">
        <v>0</v>
      </c>
      <c r="BD5" s="116" t="b">
        <v>0</v>
      </c>
      <c r="BE5" s="116" t="b">
        <v>0</v>
      </c>
      <c r="BF5" s="116" t="b">
        <v>0</v>
      </c>
      <c r="BI5" s="57"/>
      <c r="BJ5" s="58"/>
      <c r="CA5" s="119" t="s">
        <v>3</v>
      </c>
      <c r="CB5" s="119" t="s">
        <v>14</v>
      </c>
      <c r="CC5" s="119" t="s">
        <v>4</v>
      </c>
      <c r="CD5" s="119" t="s">
        <v>129</v>
      </c>
      <c r="CE5" s="119" t="s">
        <v>130</v>
      </c>
      <c r="CF5" s="119" t="s">
        <v>248</v>
      </c>
      <c r="CG5" s="119" t="s">
        <v>11</v>
      </c>
      <c r="CH5" s="119" t="s">
        <v>132</v>
      </c>
      <c r="CI5" s="119" t="s">
        <v>133</v>
      </c>
      <c r="CJ5" s="119" t="s">
        <v>134</v>
      </c>
      <c r="CK5" s="119" t="s">
        <v>135</v>
      </c>
      <c r="CL5" s="119" t="s">
        <v>136</v>
      </c>
      <c r="CM5" s="119" t="s">
        <v>137</v>
      </c>
      <c r="CN5" s="119" t="s">
        <v>295</v>
      </c>
      <c r="CO5" s="119" t="s">
        <v>296</v>
      </c>
      <c r="CP5" s="119" t="s">
        <v>297</v>
      </c>
      <c r="CQ5" s="119" t="s">
        <v>182</v>
      </c>
      <c r="CR5" s="119" t="s">
        <v>183</v>
      </c>
      <c r="CS5" s="119" t="s">
        <v>185</v>
      </c>
      <c r="CT5" s="119" t="s">
        <v>140</v>
      </c>
      <c r="CU5" s="119" t="s">
        <v>141</v>
      </c>
      <c r="CV5" s="119" t="s">
        <v>298</v>
      </c>
      <c r="CW5" s="119" t="s">
        <v>67</v>
      </c>
      <c r="CX5" s="119" t="s">
        <v>1</v>
      </c>
      <c r="CY5" s="119" t="s">
        <v>261</v>
      </c>
      <c r="CZ5" s="119" t="s">
        <v>10</v>
      </c>
      <c r="DA5" s="119" t="s">
        <v>299</v>
      </c>
      <c r="DB5" s="119" t="s">
        <v>300</v>
      </c>
      <c r="DC5" s="119" t="s">
        <v>63</v>
      </c>
      <c r="DD5" s="119" t="s">
        <v>64</v>
      </c>
      <c r="DE5" s="119" t="s">
        <v>66</v>
      </c>
      <c r="DF5" s="119" t="s">
        <v>301</v>
      </c>
      <c r="DG5" s="119" t="s">
        <v>144</v>
      </c>
      <c r="DH5" s="119" t="s">
        <v>145</v>
      </c>
      <c r="DI5" s="119" t="s">
        <v>302</v>
      </c>
      <c r="DJ5" s="119" t="s">
        <v>147</v>
      </c>
      <c r="DK5" s="119" t="s">
        <v>39</v>
      </c>
      <c r="DL5" s="119" t="s">
        <v>85</v>
      </c>
      <c r="DM5" s="119" t="s">
        <v>80</v>
      </c>
      <c r="DN5" s="119" t="s">
        <v>303</v>
      </c>
      <c r="DO5" s="119" t="s">
        <v>149</v>
      </c>
      <c r="DP5" s="119" t="s">
        <v>150</v>
      </c>
      <c r="DQ5" s="119" t="s">
        <v>304</v>
      </c>
      <c r="DR5" s="119" t="s">
        <v>152</v>
      </c>
      <c r="DS5" s="119" t="s">
        <v>305</v>
      </c>
      <c r="DT5" s="119" t="s">
        <v>155</v>
      </c>
      <c r="DU5" s="119" t="s">
        <v>156</v>
      </c>
      <c r="DV5" s="119" t="s">
        <v>157</v>
      </c>
      <c r="DW5" s="119" t="s">
        <v>306</v>
      </c>
      <c r="DX5" s="119" t="s">
        <v>307</v>
      </c>
      <c r="DY5" s="119" t="s">
        <v>308</v>
      </c>
      <c r="DZ5" s="119" t="s">
        <v>309</v>
      </c>
      <c r="EA5" s="119" t="s">
        <v>310</v>
      </c>
      <c r="EB5" s="119" t="s">
        <v>311</v>
      </c>
      <c r="EC5" s="119" t="s">
        <v>312</v>
      </c>
      <c r="ED5" s="119" t="s">
        <v>313</v>
      </c>
      <c r="EE5" s="119" t="s">
        <v>314</v>
      </c>
      <c r="EF5" s="119" t="s">
        <v>315</v>
      </c>
      <c r="EG5" s="119" t="s">
        <v>316</v>
      </c>
      <c r="EH5" s="119" t="s">
        <v>317</v>
      </c>
      <c r="EI5" s="119" t="s">
        <v>318</v>
      </c>
      <c r="EJ5" s="119" t="s">
        <v>319</v>
      </c>
      <c r="EK5" s="119" t="s">
        <v>320</v>
      </c>
      <c r="EL5" s="119" t="s">
        <v>192</v>
      </c>
      <c r="EM5" s="119" t="s">
        <v>187</v>
      </c>
      <c r="EN5" s="119" t="s">
        <v>206</v>
      </c>
      <c r="EO5" s="119" t="s">
        <v>207</v>
      </c>
      <c r="EP5" s="119" t="s">
        <v>208</v>
      </c>
      <c r="EQ5" s="119" t="s">
        <v>209</v>
      </c>
      <c r="ER5" s="119" t="s">
        <v>210</v>
      </c>
      <c r="ES5" s="119" t="s">
        <v>211</v>
      </c>
      <c r="ET5" s="119" t="s">
        <v>212</v>
      </c>
      <c r="EU5" s="119" t="s">
        <v>213</v>
      </c>
      <c r="EV5" s="119" t="s">
        <v>214</v>
      </c>
      <c r="EW5" s="119" t="s">
        <v>215</v>
      </c>
      <c r="EX5" s="119" t="s">
        <v>216</v>
      </c>
      <c r="EY5" s="119" t="s">
        <v>217</v>
      </c>
      <c r="EZ5" s="119" t="s">
        <v>218</v>
      </c>
      <c r="FA5" s="119" t="s">
        <v>219</v>
      </c>
      <c r="FB5" s="119" t="s">
        <v>188</v>
      </c>
      <c r="FC5" s="119" t="s">
        <v>220</v>
      </c>
      <c r="FD5" s="119" t="s">
        <v>221</v>
      </c>
      <c r="FE5" s="119" t="s">
        <v>222</v>
      </c>
      <c r="FF5" s="119" t="s">
        <v>223</v>
      </c>
      <c r="FG5" s="119" t="s">
        <v>224</v>
      </c>
      <c r="FH5" s="119" t="s">
        <v>225</v>
      </c>
      <c r="FI5" s="119" t="s">
        <v>226</v>
      </c>
      <c r="FJ5" s="119" t="s">
        <v>227</v>
      </c>
      <c r="FK5" s="119" t="s">
        <v>228</v>
      </c>
      <c r="FL5" s="119" t="s">
        <v>229</v>
      </c>
      <c r="FM5" s="119" t="s">
        <v>230</v>
      </c>
      <c r="FN5" s="119" t="s">
        <v>231</v>
      </c>
      <c r="FO5" s="119" t="s">
        <v>232</v>
      </c>
      <c r="FP5" s="129"/>
      <c r="FQ5" s="55"/>
      <c r="FR5" s="55"/>
      <c r="FS5" s="55"/>
      <c r="FT5" s="55"/>
      <c r="FY5" s="55"/>
      <c r="FZ5" s="55"/>
      <c r="GA5" s="55"/>
      <c r="GB5" s="55"/>
      <c r="GC5" s="55"/>
      <c r="GD5" s="55"/>
      <c r="GE5" s="55"/>
      <c r="GF5" s="55"/>
      <c r="GG5" s="55"/>
      <c r="GH5" s="55"/>
      <c r="GI5" s="55"/>
      <c r="GJ5" s="55"/>
      <c r="GK5" s="55"/>
      <c r="GL5" s="55"/>
      <c r="GM5" s="55"/>
      <c r="GN5" s="55"/>
      <c r="GO5" s="55"/>
      <c r="GP5" s="55"/>
      <c r="GQ5" s="55"/>
      <c r="GR5" s="55"/>
      <c r="GS5" s="55"/>
      <c r="GT5" s="55"/>
      <c r="GU5" s="55"/>
      <c r="GV5" s="55"/>
      <c r="GW5" s="55"/>
      <c r="GX5" s="55"/>
      <c r="GY5" s="55"/>
      <c r="GZ5" s="55"/>
      <c r="HA5" s="55"/>
      <c r="HB5" s="55"/>
      <c r="HC5" s="55"/>
      <c r="HD5" s="55"/>
      <c r="HE5" s="55"/>
      <c r="HF5" s="55"/>
      <c r="HG5" s="55"/>
      <c r="HH5" s="55"/>
      <c r="HI5" s="55"/>
      <c r="HJ5" s="55"/>
      <c r="HK5" s="55"/>
      <c r="HL5" s="55"/>
      <c r="HM5" s="55"/>
      <c r="HN5" s="55"/>
      <c r="HO5" s="55"/>
      <c r="HP5" s="55"/>
      <c r="HQ5" s="55"/>
      <c r="HR5" s="55"/>
      <c r="HS5" s="55"/>
      <c r="HT5" s="55"/>
      <c r="HU5" s="55"/>
      <c r="HV5" s="55"/>
    </row>
    <row r="6" spans="1:230" ht="25" customHeight="1" thickBot="1" x14ac:dyDescent="0.6">
      <c r="A6" s="209" t="s">
        <v>255</v>
      </c>
      <c r="B6" s="210"/>
      <c r="C6" s="9"/>
      <c r="D6" s="9"/>
      <c r="E6" s="9"/>
      <c r="F6" s="9"/>
      <c r="G6" s="9"/>
      <c r="H6" s="9"/>
      <c r="I6" s="9"/>
      <c r="J6" s="9"/>
      <c r="K6" s="9"/>
      <c r="L6" s="9"/>
      <c r="M6" s="9"/>
      <c r="N6" s="9"/>
      <c r="O6" s="9"/>
      <c r="P6" s="9"/>
      <c r="Q6" s="9"/>
      <c r="S6" s="174" t="e">
        <f>U64</f>
        <v>#DIV/0!</v>
      </c>
      <c r="T6" s="175"/>
      <c r="U6" s="183" t="e">
        <f>U66</f>
        <v>#DIV/0!</v>
      </c>
      <c r="V6" s="184"/>
      <c r="W6" s="174" t="e">
        <f>U67</f>
        <v>#DIV/0!</v>
      </c>
      <c r="X6" s="175"/>
      <c r="Y6" s="174" t="e">
        <f>U68</f>
        <v>#DIV/0!</v>
      </c>
      <c r="Z6" s="175"/>
      <c r="AA6" s="183" t="e">
        <f>U69</f>
        <v>#DIV/0!</v>
      </c>
      <c r="AB6" s="184"/>
      <c r="AC6" s="21"/>
      <c r="AH6" s="12"/>
      <c r="AI6" s="12"/>
      <c r="AJ6" s="12"/>
      <c r="AK6" s="12"/>
      <c r="AL6" s="12"/>
      <c r="AM6" s="12"/>
      <c r="AN6" s="12"/>
      <c r="AO6" s="12" t="s">
        <v>53</v>
      </c>
      <c r="AP6" s="60" t="s">
        <v>43</v>
      </c>
      <c r="AS6" s="52" t="s">
        <v>110</v>
      </c>
      <c r="BI6" s="60" t="s">
        <v>44</v>
      </c>
      <c r="CA6" s="119">
        <f>B1</f>
        <v>0</v>
      </c>
      <c r="CB6" s="119">
        <f>D1</f>
        <v>0</v>
      </c>
      <c r="CC6" s="119">
        <f>H1</f>
        <v>0</v>
      </c>
      <c r="CD6" s="119">
        <f>L1</f>
        <v>0</v>
      </c>
      <c r="CE6" s="119">
        <f>P1</f>
        <v>0</v>
      </c>
      <c r="CF6" s="119">
        <f>T1</f>
        <v>90</v>
      </c>
      <c r="CG6" s="120">
        <f>D3</f>
        <v>0</v>
      </c>
      <c r="CH6" s="121">
        <f>H3</f>
        <v>0</v>
      </c>
      <c r="CI6" s="119">
        <f>L3</f>
        <v>0</v>
      </c>
      <c r="CJ6" s="119">
        <f>COUNT(C9:Q9)</f>
        <v>0</v>
      </c>
      <c r="CK6" s="119">
        <f>COUNT(D54:R54)</f>
        <v>0</v>
      </c>
      <c r="CL6" s="119">
        <f>COUNT(D59:R59)</f>
        <v>0</v>
      </c>
      <c r="CM6" s="119">
        <f>COUNT(D40:R40)</f>
        <v>0</v>
      </c>
      <c r="CN6" s="122" t="e">
        <f>IF(Z64=1,MIN(AR18:BF18),IF(Z64=2,MIN(AR48:BF48),IF(Z64=3,MIN(AR82:BF82),IF(Z64=4,MIN(AR110:BF110),IF(Z64=5,MIN(AR169:BF169))))))/CV6*100</f>
        <v>#DIV/0!</v>
      </c>
      <c r="CO6" s="122" t="e">
        <f>IF(Z64=1,MAX(AR18:BF18),IF(Z64=2,MAX(AR48:BF48),IF(Z64=3,MAX(AR82:BF82),IF(Z64=4,MAX(AR110:BF110),IF(Z64=5,MAX(AR169:BF169))))))/CV6*100</f>
        <v>#DIV/0!</v>
      </c>
      <c r="CP6" s="122" t="e">
        <f>CO6-CN6</f>
        <v>#DIV/0!</v>
      </c>
      <c r="CQ6" s="122" t="e">
        <f>IF(Z64=1,MIN(AR19:BF19),IF(Z64=2,MIN(AR49:BF49),IF(Z64=3,MIN(AR83:BF83),IF(Z64=4,MIN(AR111:BF111),IF(Z64=5,MIN(AR170:BF170))))))/CW6*100</f>
        <v>#DIV/0!</v>
      </c>
      <c r="CR6" s="122" t="e">
        <f>IF(Z64=1,MAX(AR19:BF19),IF(Z64=2,MAX(AR49:BF49),IF(Z64=3,MAX(AR83:BF83),IF(Z64=4,MAX(AR111:BF111),IF(Z64=5,MAX(AR170:BF170))))))/CW6*100</f>
        <v>#DIV/0!</v>
      </c>
      <c r="CS6" s="122" t="e">
        <f>CR6-CQ6</f>
        <v>#DIV/0!</v>
      </c>
      <c r="CT6" s="119" t="str">
        <f>Y17</f>
        <v>Linear equation applied to all recorded data above 45% T0.</v>
      </c>
      <c r="CU6" s="123">
        <f>U19</f>
        <v>0.15</v>
      </c>
      <c r="CV6" s="123" t="e">
        <f>U64</f>
        <v>#DIV/0!</v>
      </c>
      <c r="CW6" s="123" t="e">
        <f>U66</f>
        <v>#DIV/0!</v>
      </c>
      <c r="CX6" s="123" t="e">
        <f>U67</f>
        <v>#DIV/0!</v>
      </c>
      <c r="CY6" s="123" t="e">
        <f>U68</f>
        <v>#DIV/0!</v>
      </c>
      <c r="CZ6" s="123" t="e">
        <f>U69</f>
        <v>#DIV/0!</v>
      </c>
      <c r="DA6" s="123" t="e">
        <f>U65</f>
        <v>#DIV/0!</v>
      </c>
      <c r="DB6" s="119" t="str">
        <f>IFERROR(U71/U70,"")</f>
        <v/>
      </c>
      <c r="DC6" s="123" t="str">
        <f>IFERROR(U71,"")</f>
        <v/>
      </c>
      <c r="DD6" s="123" t="str">
        <f>IFERROR(U72,"")</f>
        <v/>
      </c>
      <c r="DE6" s="123" t="str">
        <f>IFERROR(U74,"")</f>
        <v/>
      </c>
      <c r="DF6" s="123" t="str">
        <f>IFERROR(U70,"")</f>
        <v/>
      </c>
      <c r="DG6" s="123" t="e">
        <f>U75</f>
        <v>#DIV/0!</v>
      </c>
      <c r="DH6" s="123" t="e">
        <f>U76</f>
        <v>#DIV/0!</v>
      </c>
      <c r="DI6" s="123" t="e">
        <f>U77</f>
        <v>#DIV/0!</v>
      </c>
      <c r="DJ6" s="123" t="e">
        <f>U78</f>
        <v>#DIV/0!</v>
      </c>
      <c r="DK6" s="123" t="e">
        <f>W64</f>
        <v>#DIV/0!</v>
      </c>
      <c r="DL6" s="123" t="e">
        <f>W65</f>
        <v>#DIV/0!</v>
      </c>
      <c r="DM6" s="123">
        <f>W66</f>
        <v>0</v>
      </c>
      <c r="DN6" s="124" t="e">
        <f>AR23</f>
        <v>#DIV/0!</v>
      </c>
      <c r="DO6" s="119" t="e">
        <f>-DN6/DS6</f>
        <v>#DIV/0!</v>
      </c>
      <c r="DP6" s="119" t="e">
        <f>DN6*DO6/4</f>
        <v>#DIV/0!</v>
      </c>
      <c r="DQ6" s="119" t="e">
        <f>DN6/2</f>
        <v>#DIV/0!</v>
      </c>
      <c r="DR6" s="119" t="e">
        <f>DO6/2</f>
        <v>#DIV/0!</v>
      </c>
      <c r="DS6" s="124" t="e">
        <f>AR22</f>
        <v>#DIV/0!</v>
      </c>
      <c r="DT6" s="124" t="e">
        <f>AR24</f>
        <v>#DIV/0!</v>
      </c>
      <c r="DU6" s="124" t="e">
        <f>AT24</f>
        <v>#DIV/0!</v>
      </c>
      <c r="DV6" s="124">
        <f>AV24</f>
        <v>0</v>
      </c>
      <c r="DW6" s="123" t="str">
        <f t="shared" ref="DW6:EK6" si="1">_xlfn.IFNA(D35,"")</f>
        <v/>
      </c>
      <c r="DX6" s="123" t="str">
        <f t="shared" si="1"/>
        <v/>
      </c>
      <c r="DY6" s="123" t="str">
        <f t="shared" si="1"/>
        <v/>
      </c>
      <c r="DZ6" s="123" t="str">
        <f t="shared" si="1"/>
        <v/>
      </c>
      <c r="EA6" s="123" t="str">
        <f t="shared" si="1"/>
        <v/>
      </c>
      <c r="EB6" s="123" t="str">
        <f t="shared" si="1"/>
        <v/>
      </c>
      <c r="EC6" s="123" t="str">
        <f t="shared" si="1"/>
        <v/>
      </c>
      <c r="ED6" s="123" t="str">
        <f t="shared" si="1"/>
        <v/>
      </c>
      <c r="EE6" s="123" t="str">
        <f t="shared" si="1"/>
        <v/>
      </c>
      <c r="EF6" s="123" t="str">
        <f t="shared" si="1"/>
        <v/>
      </c>
      <c r="EG6" s="123" t="str">
        <f t="shared" si="1"/>
        <v/>
      </c>
      <c r="EH6" s="123" t="str">
        <f t="shared" si="1"/>
        <v/>
      </c>
      <c r="EI6" s="123" t="str">
        <f t="shared" si="1"/>
        <v/>
      </c>
      <c r="EJ6" s="123" t="str">
        <f t="shared" si="1"/>
        <v/>
      </c>
      <c r="EK6" s="123" t="str">
        <f t="shared" si="1"/>
        <v/>
      </c>
      <c r="EL6" s="119" t="str">
        <f t="shared" ref="EL6:EZ6" si="2">_xlfn.IFNA(D36,"")</f>
        <v/>
      </c>
      <c r="EM6" s="119" t="str">
        <f t="shared" si="2"/>
        <v/>
      </c>
      <c r="EN6" s="119" t="str">
        <f t="shared" si="2"/>
        <v/>
      </c>
      <c r="EO6" s="119" t="str">
        <f t="shared" si="2"/>
        <v/>
      </c>
      <c r="EP6" s="119" t="str">
        <f t="shared" si="2"/>
        <v/>
      </c>
      <c r="EQ6" s="119" t="str">
        <f t="shared" si="2"/>
        <v/>
      </c>
      <c r="ER6" s="119" t="str">
        <f t="shared" si="2"/>
        <v/>
      </c>
      <c r="ES6" s="119" t="str">
        <f t="shared" si="2"/>
        <v/>
      </c>
      <c r="ET6" s="119" t="str">
        <f t="shared" si="2"/>
        <v/>
      </c>
      <c r="EU6" s="119" t="str">
        <f t="shared" si="2"/>
        <v/>
      </c>
      <c r="EV6" s="119" t="str">
        <f t="shared" si="2"/>
        <v/>
      </c>
      <c r="EW6" s="119" t="str">
        <f t="shared" si="2"/>
        <v/>
      </c>
      <c r="EX6" s="119" t="str">
        <f t="shared" si="2"/>
        <v/>
      </c>
      <c r="EY6" s="119" t="str">
        <f t="shared" si="2"/>
        <v/>
      </c>
      <c r="EZ6" s="119" t="str">
        <f t="shared" si="2"/>
        <v/>
      </c>
      <c r="FA6" s="119" t="str">
        <f t="shared" ref="FA6:FO6" si="3">IF(EL6="","",IF(_xlfn.IFNA(D40,"")="",0,1))</f>
        <v/>
      </c>
      <c r="FB6" s="119" t="str">
        <f t="shared" si="3"/>
        <v/>
      </c>
      <c r="FC6" s="119" t="str">
        <f t="shared" si="3"/>
        <v/>
      </c>
      <c r="FD6" s="119" t="str">
        <f t="shared" si="3"/>
        <v/>
      </c>
      <c r="FE6" s="119" t="str">
        <f t="shared" si="3"/>
        <v/>
      </c>
      <c r="FF6" s="119" t="str">
        <f t="shared" si="3"/>
        <v/>
      </c>
      <c r="FG6" s="119" t="str">
        <f t="shared" si="3"/>
        <v/>
      </c>
      <c r="FH6" s="119" t="str">
        <f t="shared" si="3"/>
        <v/>
      </c>
      <c r="FI6" s="119" t="str">
        <f t="shared" si="3"/>
        <v/>
      </c>
      <c r="FJ6" s="119" t="str">
        <f t="shared" si="3"/>
        <v/>
      </c>
      <c r="FK6" s="119" t="str">
        <f t="shared" si="3"/>
        <v/>
      </c>
      <c r="FL6" s="119" t="str">
        <f t="shared" si="3"/>
        <v/>
      </c>
      <c r="FM6" s="119" t="str">
        <f t="shared" si="3"/>
        <v/>
      </c>
      <c r="FN6" s="119" t="str">
        <f t="shared" si="3"/>
        <v/>
      </c>
      <c r="FO6" s="119" t="str">
        <f t="shared" si="3"/>
        <v/>
      </c>
      <c r="FP6" s="129"/>
      <c r="FQ6" s="55"/>
      <c r="FR6" s="55"/>
      <c r="FS6" s="55"/>
      <c r="FT6" s="64"/>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row>
    <row r="7" spans="1:230" ht="25" customHeight="1" thickBot="1" x14ac:dyDescent="0.55000000000000004">
      <c r="A7" s="207" t="s">
        <v>255</v>
      </c>
      <c r="B7" s="208"/>
      <c r="C7" s="24" t="str">
        <f>IF(C$6="","",(C6))</f>
        <v/>
      </c>
      <c r="D7" s="24" t="str">
        <f t="shared" ref="D7:P7" si="4">IF(D$6="","",(D6))</f>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f>
        <v/>
      </c>
      <c r="S7" s="176"/>
      <c r="T7" s="177"/>
      <c r="U7" s="185"/>
      <c r="V7" s="186"/>
      <c r="W7" s="176"/>
      <c r="X7" s="177"/>
      <c r="Y7" s="176"/>
      <c r="Z7" s="177"/>
      <c r="AA7" s="185"/>
      <c r="AB7" s="186"/>
      <c r="AC7" s="21"/>
      <c r="AH7" s="12"/>
      <c r="AI7" s="12"/>
      <c r="AJ7" s="12"/>
      <c r="AK7" s="12"/>
      <c r="AL7" s="12"/>
      <c r="AM7" s="12"/>
      <c r="AN7" s="12"/>
      <c r="AO7" s="12"/>
      <c r="AP7" s="59"/>
      <c r="AQ7" s="59"/>
      <c r="AR7" s="63" t="s">
        <v>22</v>
      </c>
      <c r="AS7" s="63" t="s">
        <v>24</v>
      </c>
      <c r="AT7" s="63" t="s">
        <v>25</v>
      </c>
      <c r="AU7" s="63" t="s">
        <v>26</v>
      </c>
      <c r="AV7" s="63" t="s">
        <v>27</v>
      </c>
      <c r="AW7" s="63" t="s">
        <v>28</v>
      </c>
      <c r="AX7" s="63" t="s">
        <v>29</v>
      </c>
      <c r="AY7" s="63" t="s">
        <v>30</v>
      </c>
      <c r="AZ7" s="63" t="s">
        <v>31</v>
      </c>
      <c r="BA7" s="63" t="s">
        <v>32</v>
      </c>
      <c r="BB7" s="63" t="s">
        <v>105</v>
      </c>
      <c r="BC7" s="63" t="s">
        <v>106</v>
      </c>
      <c r="BD7" s="63" t="s">
        <v>107</v>
      </c>
      <c r="BE7" s="63" t="s">
        <v>108</v>
      </c>
      <c r="BF7" s="63" t="s">
        <v>109</v>
      </c>
      <c r="BI7" s="59"/>
      <c r="BJ7" s="59"/>
      <c r="BK7" s="63" t="s">
        <v>22</v>
      </c>
      <c r="BL7" s="63" t="s">
        <v>24</v>
      </c>
      <c r="BM7" s="63" t="s">
        <v>25</v>
      </c>
      <c r="BN7" s="63" t="s">
        <v>26</v>
      </c>
      <c r="BO7" s="63" t="s">
        <v>27</v>
      </c>
      <c r="BP7" s="63" t="s">
        <v>28</v>
      </c>
      <c r="BQ7" s="63" t="s">
        <v>29</v>
      </c>
      <c r="BR7" s="63" t="s">
        <v>30</v>
      </c>
      <c r="BS7" s="63" t="s">
        <v>31</v>
      </c>
      <c r="BT7" s="63" t="s">
        <v>32</v>
      </c>
      <c r="BU7" s="63" t="s">
        <v>105</v>
      </c>
      <c r="BV7" s="63" t="s">
        <v>106</v>
      </c>
      <c r="BW7" s="63" t="s">
        <v>107</v>
      </c>
      <c r="BX7" s="63" t="s">
        <v>108</v>
      </c>
      <c r="BY7" s="63" t="s">
        <v>109</v>
      </c>
      <c r="CA7" s="127"/>
      <c r="CB7" s="127"/>
      <c r="CC7" s="127"/>
      <c r="CD7" s="127"/>
      <c r="CE7" s="127"/>
      <c r="CF7" s="127"/>
      <c r="CG7" s="127"/>
      <c r="CH7" s="132"/>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row>
    <row r="8" spans="1:230" ht="25" customHeight="1" thickBot="1" x14ac:dyDescent="0.55000000000000004">
      <c r="S8" s="176"/>
      <c r="T8" s="177"/>
      <c r="U8" s="185"/>
      <c r="V8" s="186"/>
      <c r="W8" s="176"/>
      <c r="X8" s="177"/>
      <c r="Y8" s="176"/>
      <c r="Z8" s="177"/>
      <c r="AA8" s="185"/>
      <c r="AB8" s="186"/>
      <c r="AC8" s="21"/>
      <c r="AE8" s="12"/>
      <c r="AH8" s="12"/>
      <c r="AI8" s="12"/>
      <c r="AJ8" s="12"/>
      <c r="AK8" s="12"/>
      <c r="AL8" s="12"/>
      <c r="AM8" s="12"/>
      <c r="AN8" s="12"/>
      <c r="AO8" s="12"/>
      <c r="AP8" s="65" t="s">
        <v>21</v>
      </c>
      <c r="AQ8" s="66"/>
      <c r="AR8" s="63" t="str">
        <f t="shared" ref="AR8:BF8" si="5">IF(AR9="","",AR9/$AR$23)</f>
        <v/>
      </c>
      <c r="AS8" s="62" t="str">
        <f>IF(AS9="","",AS9/$AR$23)</f>
        <v/>
      </c>
      <c r="AT8" s="62" t="str">
        <f t="shared" si="5"/>
        <v/>
      </c>
      <c r="AU8" s="62" t="str">
        <f t="shared" si="5"/>
        <v/>
      </c>
      <c r="AV8" s="62" t="str">
        <f t="shared" si="5"/>
        <v/>
      </c>
      <c r="AW8" s="62" t="str">
        <f t="shared" si="5"/>
        <v/>
      </c>
      <c r="AX8" s="62" t="str">
        <f t="shared" si="5"/>
        <v/>
      </c>
      <c r="AY8" s="62" t="str">
        <f>IF(AY9="","",AY9/$AR$23)</f>
        <v/>
      </c>
      <c r="AZ8" s="62" t="str">
        <f t="shared" si="5"/>
        <v/>
      </c>
      <c r="BA8" s="62" t="str">
        <f>IF(BA9="","",BA9/$AR$23)</f>
        <v/>
      </c>
      <c r="BB8" s="62" t="str">
        <f t="shared" si="5"/>
        <v/>
      </c>
      <c r="BC8" s="62" t="str">
        <f t="shared" si="5"/>
        <v/>
      </c>
      <c r="BD8" s="62" t="str">
        <f t="shared" si="5"/>
        <v/>
      </c>
      <c r="BE8" s="62" t="str">
        <f t="shared" si="5"/>
        <v/>
      </c>
      <c r="BF8" s="62" t="str">
        <f t="shared" si="5"/>
        <v/>
      </c>
      <c r="BI8" s="67" t="s">
        <v>21</v>
      </c>
      <c r="BJ8" s="67"/>
      <c r="BK8" s="68" t="e">
        <f t="shared" ref="BK8:BS8" si="6">IF(AR9="",NA(),AR9/$AR$23)</f>
        <v>#N/A</v>
      </c>
      <c r="BL8" s="68" t="e">
        <f t="shared" si="6"/>
        <v>#N/A</v>
      </c>
      <c r="BM8" s="68" t="e">
        <f t="shared" si="6"/>
        <v>#N/A</v>
      </c>
      <c r="BN8" s="68" t="e">
        <f t="shared" si="6"/>
        <v>#N/A</v>
      </c>
      <c r="BO8" s="68" t="e">
        <f t="shared" si="6"/>
        <v>#N/A</v>
      </c>
      <c r="BP8" s="68" t="e">
        <f t="shared" si="6"/>
        <v>#N/A</v>
      </c>
      <c r="BQ8" s="68" t="e">
        <f t="shared" si="6"/>
        <v>#N/A</v>
      </c>
      <c r="BR8" s="68" t="e">
        <f t="shared" si="6"/>
        <v>#N/A</v>
      </c>
      <c r="BS8" s="68" t="e">
        <f t="shared" si="6"/>
        <v>#N/A</v>
      </c>
      <c r="BT8" s="68" t="e">
        <f t="shared" ref="BT8:BY8" si="7">IF(BA9="",NA(),BA9/$AR$23)</f>
        <v>#N/A</v>
      </c>
      <c r="BU8" s="68" t="e">
        <f t="shared" si="7"/>
        <v>#N/A</v>
      </c>
      <c r="BV8" s="68" t="e">
        <f t="shared" si="7"/>
        <v>#N/A</v>
      </c>
      <c r="BW8" s="68" t="e">
        <f t="shared" si="7"/>
        <v>#N/A</v>
      </c>
      <c r="BX8" s="68" t="e">
        <f t="shared" si="7"/>
        <v>#N/A</v>
      </c>
      <c r="BY8" s="68" t="e">
        <f t="shared" si="7"/>
        <v>#N/A</v>
      </c>
      <c r="CA8" s="119" t="s">
        <v>3</v>
      </c>
      <c r="CB8" s="119" t="s">
        <v>14</v>
      </c>
      <c r="CC8" s="119" t="s">
        <v>4</v>
      </c>
      <c r="CD8" s="119" t="s">
        <v>129</v>
      </c>
      <c r="CE8" s="119" t="s">
        <v>130</v>
      </c>
      <c r="CF8" s="119" t="s">
        <v>250</v>
      </c>
      <c r="CG8" s="119" t="s">
        <v>11</v>
      </c>
      <c r="CH8" s="121" t="s">
        <v>132</v>
      </c>
      <c r="CI8" s="119" t="s">
        <v>133</v>
      </c>
      <c r="CJ8" s="119" t="s">
        <v>134</v>
      </c>
      <c r="CK8" s="119" t="s">
        <v>135</v>
      </c>
      <c r="CL8" s="119" t="s">
        <v>136</v>
      </c>
      <c r="CM8" s="119" t="s">
        <v>137</v>
      </c>
      <c r="CN8" s="119" t="s">
        <v>180</v>
      </c>
      <c r="CO8" s="119" t="s">
        <v>181</v>
      </c>
      <c r="CP8" s="119" t="s">
        <v>184</v>
      </c>
      <c r="CQ8" s="119" t="s">
        <v>182</v>
      </c>
      <c r="CR8" s="119" t="s">
        <v>183</v>
      </c>
      <c r="CS8" s="119" t="s">
        <v>185</v>
      </c>
      <c r="CT8" s="119" t="s">
        <v>140</v>
      </c>
      <c r="CU8" s="119" t="s">
        <v>141</v>
      </c>
      <c r="CV8" s="119" t="s">
        <v>2</v>
      </c>
      <c r="CW8" s="119" t="s">
        <v>67</v>
      </c>
      <c r="CX8" s="119" t="s">
        <v>1</v>
      </c>
      <c r="CY8" s="119" t="s">
        <v>9</v>
      </c>
      <c r="CZ8" s="119" t="s">
        <v>10</v>
      </c>
      <c r="DA8" s="119" t="s">
        <v>154</v>
      </c>
      <c r="DB8" s="119" t="s">
        <v>142</v>
      </c>
      <c r="DC8" s="119" t="s">
        <v>63</v>
      </c>
      <c r="DD8" s="119" t="s">
        <v>64</v>
      </c>
      <c r="DE8" s="119" t="s">
        <v>66</v>
      </c>
      <c r="DF8" s="119" t="s">
        <v>143</v>
      </c>
      <c r="DG8" s="119" t="s">
        <v>144</v>
      </c>
      <c r="DH8" s="119" t="s">
        <v>145</v>
      </c>
      <c r="DI8" s="119" t="s">
        <v>146</v>
      </c>
      <c r="DJ8" s="119" t="s">
        <v>147</v>
      </c>
      <c r="DK8" s="119" t="s">
        <v>39</v>
      </c>
      <c r="DL8" s="119" t="s">
        <v>85</v>
      </c>
      <c r="DM8" s="119" t="s">
        <v>80</v>
      </c>
      <c r="DN8" s="119" t="s">
        <v>148</v>
      </c>
      <c r="DO8" s="119" t="s">
        <v>149</v>
      </c>
      <c r="DP8" s="119" t="s">
        <v>150</v>
      </c>
      <c r="DQ8" s="119" t="s">
        <v>151</v>
      </c>
      <c r="DR8" s="119" t="s">
        <v>152</v>
      </c>
      <c r="DS8" s="119" t="s">
        <v>153</v>
      </c>
      <c r="DT8" s="119" t="s">
        <v>155</v>
      </c>
      <c r="DU8" s="119" t="s">
        <v>156</v>
      </c>
      <c r="DV8" s="119" t="s">
        <v>157</v>
      </c>
      <c r="DW8" s="119" t="s">
        <v>191</v>
      </c>
      <c r="DX8" s="119" t="s">
        <v>186</v>
      </c>
      <c r="DY8" s="119" t="s">
        <v>193</v>
      </c>
      <c r="DZ8" s="119" t="s">
        <v>194</v>
      </c>
      <c r="EA8" s="119" t="s">
        <v>195</v>
      </c>
      <c r="EB8" s="119" t="s">
        <v>196</v>
      </c>
      <c r="EC8" s="119" t="s">
        <v>197</v>
      </c>
      <c r="ED8" s="119" t="s">
        <v>198</v>
      </c>
      <c r="EE8" s="119" t="s">
        <v>199</v>
      </c>
      <c r="EF8" s="119" t="s">
        <v>200</v>
      </c>
      <c r="EG8" s="119" t="s">
        <v>201</v>
      </c>
      <c r="EH8" s="119" t="s">
        <v>202</v>
      </c>
      <c r="EI8" s="119" t="s">
        <v>203</v>
      </c>
      <c r="EJ8" s="119" t="s">
        <v>204</v>
      </c>
      <c r="EK8" s="119" t="s">
        <v>205</v>
      </c>
      <c r="EL8" s="119" t="s">
        <v>192</v>
      </c>
      <c r="EM8" s="119" t="s">
        <v>187</v>
      </c>
      <c r="EN8" s="119" t="s">
        <v>206</v>
      </c>
      <c r="EO8" s="119" t="s">
        <v>207</v>
      </c>
      <c r="EP8" s="119" t="s">
        <v>208</v>
      </c>
      <c r="EQ8" s="119" t="s">
        <v>209</v>
      </c>
      <c r="ER8" s="119" t="s">
        <v>210</v>
      </c>
      <c r="ES8" s="119" t="s">
        <v>211</v>
      </c>
      <c r="ET8" s="119" t="s">
        <v>212</v>
      </c>
      <c r="EU8" s="119" t="s">
        <v>213</v>
      </c>
      <c r="EV8" s="119" t="s">
        <v>214</v>
      </c>
      <c r="EW8" s="119" t="s">
        <v>215</v>
      </c>
      <c r="EX8" s="119" t="s">
        <v>216</v>
      </c>
      <c r="EY8" s="119" t="s">
        <v>217</v>
      </c>
      <c r="EZ8" s="119" t="s">
        <v>218</v>
      </c>
      <c r="FA8" s="119" t="s">
        <v>219</v>
      </c>
      <c r="FB8" s="119" t="s">
        <v>188</v>
      </c>
      <c r="FC8" s="119" t="s">
        <v>220</v>
      </c>
      <c r="FD8" s="119" t="s">
        <v>221</v>
      </c>
      <c r="FE8" s="119" t="s">
        <v>222</v>
      </c>
      <c r="FF8" s="119" t="s">
        <v>223</v>
      </c>
      <c r="FG8" s="119" t="s">
        <v>224</v>
      </c>
      <c r="FH8" s="119" t="s">
        <v>225</v>
      </c>
      <c r="FI8" s="119" t="s">
        <v>226</v>
      </c>
      <c r="FJ8" s="119" t="s">
        <v>227</v>
      </c>
      <c r="FK8" s="119" t="s">
        <v>228</v>
      </c>
      <c r="FL8" s="119" t="s">
        <v>229</v>
      </c>
      <c r="FM8" s="119" t="s">
        <v>230</v>
      </c>
      <c r="FN8" s="119" t="s">
        <v>231</v>
      </c>
      <c r="FO8" s="119" t="s">
        <v>232</v>
      </c>
      <c r="FP8" s="127"/>
    </row>
    <row r="9" spans="1:230" ht="25" customHeight="1" thickBot="1" x14ac:dyDescent="0.55000000000000004">
      <c r="A9" s="195" t="s">
        <v>257</v>
      </c>
      <c r="B9" s="206"/>
      <c r="C9" s="7"/>
      <c r="D9" s="7"/>
      <c r="E9" s="7"/>
      <c r="F9" s="7"/>
      <c r="G9" s="7"/>
      <c r="H9" s="7"/>
      <c r="I9" s="7"/>
      <c r="J9" s="7"/>
      <c r="K9" s="7"/>
      <c r="L9" s="7"/>
      <c r="M9" s="7"/>
      <c r="N9" s="7"/>
      <c r="O9" s="7"/>
      <c r="P9" s="7"/>
      <c r="Q9" s="8"/>
      <c r="S9" s="157" t="s">
        <v>293</v>
      </c>
      <c r="T9" s="158"/>
      <c r="U9" s="157" t="s">
        <v>292</v>
      </c>
      <c r="V9" s="158"/>
      <c r="W9" s="157" t="s">
        <v>6</v>
      </c>
      <c r="X9" s="158"/>
      <c r="Y9" s="157" t="s">
        <v>293</v>
      </c>
      <c r="Z9" s="158"/>
      <c r="AA9" s="157" t="s">
        <v>292</v>
      </c>
      <c r="AB9" s="158"/>
      <c r="AC9" s="21"/>
      <c r="AH9" s="12"/>
      <c r="AI9" s="12"/>
      <c r="AJ9" s="12"/>
      <c r="AK9" s="12"/>
      <c r="AL9" s="12"/>
      <c r="AM9" s="12"/>
      <c r="AN9" s="12"/>
      <c r="AO9" s="69" t="s">
        <v>50</v>
      </c>
      <c r="AP9" s="70" t="s">
        <v>23</v>
      </c>
      <c r="AQ9" s="71"/>
      <c r="AR9" s="72" t="str">
        <f>IF(Q7="","",Q7)</f>
        <v/>
      </c>
      <c r="AS9" s="73" t="str">
        <f>IFERROR(SMALL($C$7:$P$7,1),"")</f>
        <v/>
      </c>
      <c r="AT9" s="73" t="str">
        <f>IFERROR(SMALL($C$7:$P$7,2),"")</f>
        <v/>
      </c>
      <c r="AU9" s="73" t="str">
        <f>IFERROR(SMALL($C$7:$P$7,3),"")</f>
        <v/>
      </c>
      <c r="AV9" s="73" t="str">
        <f>IFERROR(SMALL($C$7:$P$7,4),"")</f>
        <v/>
      </c>
      <c r="AW9" s="73" t="str">
        <f>IFERROR(SMALL($C$7:$P$7,5),"")</f>
        <v/>
      </c>
      <c r="AX9" s="73" t="str">
        <f>IFERROR(SMALL($C$7:$P$7,6),"")</f>
        <v/>
      </c>
      <c r="AY9" s="73" t="str">
        <f>IFERROR(SMALL($C$7:$P$7,7),"")</f>
        <v/>
      </c>
      <c r="AZ9" s="73" t="str">
        <f>IFERROR(SMALL($C$7:$P$7,8),"")</f>
        <v/>
      </c>
      <c r="BA9" s="73" t="str">
        <f>IFERROR(SMALL($C$7:$P$7,9),"")</f>
        <v/>
      </c>
      <c r="BB9" s="73" t="str">
        <f>IFERROR(SMALL($C$7:$P$7,10),"")</f>
        <v/>
      </c>
      <c r="BC9" s="73" t="str">
        <f>IFERROR(SMALL($C$7:$P$7,11),"")</f>
        <v/>
      </c>
      <c r="BD9" s="73" t="str">
        <f>IFERROR(SMALL($C$7:$P$7,12),"")</f>
        <v/>
      </c>
      <c r="BE9" s="73" t="str">
        <f>IFERROR(SMALL($C$7:$P$7,13),"")</f>
        <v/>
      </c>
      <c r="BF9" s="73" t="str">
        <f>IFERROR(SMALL($C$7:$P$7,14),"")</f>
        <v/>
      </c>
      <c r="BI9" s="67" t="s">
        <v>23</v>
      </c>
      <c r="BJ9" s="67"/>
      <c r="BK9" s="62" t="e">
        <f>IF(Q7="",NA(),Q7)</f>
        <v>#N/A</v>
      </c>
      <c r="BL9" s="62" t="e">
        <f>IFERROR(SMALL($C$7:$P$7,1),NA())</f>
        <v>#N/A</v>
      </c>
      <c r="BM9" s="62" t="e">
        <f>IFERROR(SMALL($C$7:$P$7,2),NA())</f>
        <v>#N/A</v>
      </c>
      <c r="BN9" s="62" t="e">
        <f>IFERROR(SMALL($C$7:$P$7,3),NA())</f>
        <v>#N/A</v>
      </c>
      <c r="BO9" s="62" t="e">
        <f>IFERROR(SMALL($C$7:$P$7,4),NA())</f>
        <v>#N/A</v>
      </c>
      <c r="BP9" s="62" t="e">
        <f>IFERROR(SMALL($C$7:$P$7,5),NA())</f>
        <v>#N/A</v>
      </c>
      <c r="BQ9" s="62" t="e">
        <f>IFERROR(SMALL($C$7:$P$7,6),NA())</f>
        <v>#N/A</v>
      </c>
      <c r="BR9" s="62" t="e">
        <f>IFERROR(SMALL($C$7:$P$7,7),NA())</f>
        <v>#N/A</v>
      </c>
      <c r="BS9" s="62" t="e">
        <f>IFERROR(SMALL($C$7:$P$7,8),NA())</f>
        <v>#N/A</v>
      </c>
      <c r="BT9" s="62" t="e">
        <f>IFERROR(SMALL($C$7:$P$7,9),NA())</f>
        <v>#N/A</v>
      </c>
      <c r="BU9" s="62" t="e">
        <f>IFERROR(SMALL($C$7:$P$7,10),NA())</f>
        <v>#N/A</v>
      </c>
      <c r="BV9" s="62" t="e">
        <f>IFERROR(SMALL($C$7:$P$7,11),NA())</f>
        <v>#N/A</v>
      </c>
      <c r="BW9" s="62" t="e">
        <f>IFERROR(SMALL($C$7:$P$7,12),NA())</f>
        <v>#N/A</v>
      </c>
      <c r="BX9" s="62" t="e">
        <f>IFERROR(SMALL($C$7:$P$7,13),NA())</f>
        <v>#N/A</v>
      </c>
      <c r="BY9" s="62" t="e">
        <f>IFERROR(SMALL($C$7:$P$7,14),NA())</f>
        <v>#N/A</v>
      </c>
      <c r="CA9" s="119">
        <v>1</v>
      </c>
      <c r="CB9" s="119">
        <v>2</v>
      </c>
      <c r="CC9" s="119">
        <v>3</v>
      </c>
      <c r="CD9" s="119">
        <v>0</v>
      </c>
      <c r="CE9" s="119">
        <v>0</v>
      </c>
      <c r="CF9" s="119">
        <v>90</v>
      </c>
      <c r="CG9" s="120">
        <v>44778</v>
      </c>
      <c r="CH9" s="121" t="s">
        <v>253</v>
      </c>
      <c r="CI9" s="119" t="s">
        <v>251</v>
      </c>
      <c r="CJ9" s="119">
        <v>5</v>
      </c>
      <c r="CK9" s="119">
        <v>0</v>
      </c>
      <c r="CL9" s="119">
        <v>0</v>
      </c>
      <c r="CM9" s="119">
        <v>5</v>
      </c>
      <c r="CN9" s="122">
        <v>0</v>
      </c>
      <c r="CO9" s="122">
        <v>73.254531666686134</v>
      </c>
      <c r="CP9" s="122">
        <v>73.254531666686134</v>
      </c>
      <c r="CQ9" s="122">
        <v>15.599175675572024</v>
      </c>
      <c r="CR9" s="122">
        <v>103.99450450381352</v>
      </c>
      <c r="CS9" s="122">
        <v>88.395328828241489</v>
      </c>
      <c r="CT9" s="119" t="s">
        <v>237</v>
      </c>
      <c r="CU9" s="123">
        <v>0.1</v>
      </c>
      <c r="CV9" s="123">
        <v>1606.9995578653788</v>
      </c>
      <c r="CW9" s="123">
        <v>1.9231785463496867</v>
      </c>
      <c r="CX9" s="123">
        <v>466.24197636025212</v>
      </c>
      <c r="CY9" s="123">
        <v>610.65983198884237</v>
      </c>
      <c r="CZ9" s="123">
        <v>0.76350523145064342</v>
      </c>
      <c r="DA9" s="123">
        <v>-1422.4780016487985</v>
      </c>
      <c r="DB9" s="119">
        <v>0.68491789804845871</v>
      </c>
      <c r="DC9" s="123">
        <v>1100.662759337959</v>
      </c>
      <c r="DD9" s="123">
        <v>1.3172340425678273</v>
      </c>
      <c r="DE9" s="123">
        <v>0.52611421614166376</v>
      </c>
      <c r="DF9" s="123">
        <v>1606.9995578653807</v>
      </c>
      <c r="DG9" s="123">
        <v>1.1297183900226935</v>
      </c>
      <c r="DH9" s="123">
        <v>453.86423831971399</v>
      </c>
      <c r="DI9" s="123">
        <v>803.49977893268942</v>
      </c>
      <c r="DJ9" s="123">
        <v>0.96158927317484333</v>
      </c>
      <c r="DK9" s="123">
        <v>0.99735305117648188</v>
      </c>
      <c r="DL9" s="123">
        <v>3.8511442877227596E-2</v>
      </c>
      <c r="DM9" s="123">
        <v>5.0083837514077287E-2</v>
      </c>
      <c r="DN9" s="124">
        <v>1227.8741721854303</v>
      </c>
      <c r="DO9" s="119">
        <v>1.8439024390243903</v>
      </c>
      <c r="DP9" s="119">
        <v>566.02004522694233</v>
      </c>
      <c r="DQ9" s="119">
        <v>613.93708609271516</v>
      </c>
      <c r="DR9" s="119">
        <v>0.92195121951219516</v>
      </c>
      <c r="DS9" s="124">
        <v>-665.91059602649</v>
      </c>
      <c r="DT9" s="124">
        <v>0.92770419426048534</v>
      </c>
      <c r="DU9" s="124">
        <v>0.20896570691543342</v>
      </c>
      <c r="DV9" s="124">
        <v>0.21695529822459186</v>
      </c>
      <c r="DW9" s="123" t="s">
        <v>234</v>
      </c>
      <c r="DX9" s="123">
        <v>0</v>
      </c>
      <c r="DY9" s="123">
        <v>294.3</v>
      </c>
      <c r="DZ9" s="123">
        <v>588.6</v>
      </c>
      <c r="EA9" s="123">
        <v>882.90000000000009</v>
      </c>
      <c r="EB9" s="123">
        <v>1177.2</v>
      </c>
      <c r="EC9" s="123" t="s">
        <v>234</v>
      </c>
      <c r="ED9" s="123" t="s">
        <v>234</v>
      </c>
      <c r="EE9" s="123" t="s">
        <v>234</v>
      </c>
      <c r="EF9" s="123" t="s">
        <v>234</v>
      </c>
      <c r="EG9" s="123" t="s">
        <v>234</v>
      </c>
      <c r="EH9" s="123" t="s">
        <v>234</v>
      </c>
      <c r="EI9" s="123" t="s">
        <v>234</v>
      </c>
      <c r="EJ9" s="123" t="s">
        <v>234</v>
      </c>
      <c r="EK9" s="123" t="s">
        <v>234</v>
      </c>
      <c r="EL9" s="119" t="s">
        <v>234</v>
      </c>
      <c r="EM9" s="119">
        <v>2</v>
      </c>
      <c r="EN9" s="119">
        <v>1.2</v>
      </c>
      <c r="EO9" s="119">
        <v>0.8</v>
      </c>
      <c r="EP9" s="119">
        <v>0.5</v>
      </c>
      <c r="EQ9" s="119">
        <v>0.3</v>
      </c>
      <c r="ER9" s="119" t="s">
        <v>234</v>
      </c>
      <c r="ES9" s="119" t="s">
        <v>234</v>
      </c>
      <c r="ET9" s="119" t="s">
        <v>234</v>
      </c>
      <c r="EU9" s="119" t="s">
        <v>234</v>
      </c>
      <c r="EV9" s="119" t="s">
        <v>234</v>
      </c>
      <c r="EW9" s="119" t="s">
        <v>234</v>
      </c>
      <c r="EX9" s="119" t="s">
        <v>234</v>
      </c>
      <c r="EY9" s="119" t="s">
        <v>234</v>
      </c>
      <c r="EZ9" s="119" t="s">
        <v>234</v>
      </c>
      <c r="FA9" s="119" t="s">
        <v>234</v>
      </c>
      <c r="FB9" s="119">
        <v>1</v>
      </c>
      <c r="FC9" s="119">
        <v>1</v>
      </c>
      <c r="FD9" s="119">
        <v>1</v>
      </c>
      <c r="FE9" s="119">
        <v>1</v>
      </c>
      <c r="FF9" s="119">
        <v>1</v>
      </c>
      <c r="FG9" s="119" t="s">
        <v>234</v>
      </c>
      <c r="FH9" s="119" t="s">
        <v>234</v>
      </c>
      <c r="FI9" s="119" t="s">
        <v>234</v>
      </c>
      <c r="FJ9" s="119" t="s">
        <v>234</v>
      </c>
      <c r="FK9" s="119" t="s">
        <v>234</v>
      </c>
      <c r="FL9" s="119" t="s">
        <v>234</v>
      </c>
      <c r="FM9" s="119" t="s">
        <v>234</v>
      </c>
      <c r="FN9" s="119" t="s">
        <v>234</v>
      </c>
      <c r="FO9" s="119" t="s">
        <v>234</v>
      </c>
      <c r="FP9" s="127"/>
    </row>
    <row r="10" spans="1:230" ht="25" customHeight="1" x14ac:dyDescent="0.65">
      <c r="A10" s="191" t="s">
        <v>258</v>
      </c>
      <c r="B10" s="192"/>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4"/>
      <c r="AH10" s="12"/>
      <c r="AI10" s="12"/>
      <c r="AJ10" s="12"/>
      <c r="AK10" s="12"/>
      <c r="AL10" s="12"/>
      <c r="AM10" s="12"/>
      <c r="AN10" s="12"/>
      <c r="AO10" s="12"/>
      <c r="AP10" s="67" t="s">
        <v>18</v>
      </c>
      <c r="AQ10" s="67"/>
      <c r="AR10" s="63" t="str">
        <f t="shared" ref="AR10:BF10" si="9">IF(AR9="","",INDEX($C$9:$Q$9,MATCH(AR9,$C$7:$Q$7,0)))</f>
        <v/>
      </c>
      <c r="AS10" s="62" t="str">
        <f t="shared" si="9"/>
        <v/>
      </c>
      <c r="AT10" s="62" t="str">
        <f t="shared" si="9"/>
        <v/>
      </c>
      <c r="AU10" s="62" t="str">
        <f t="shared" si="9"/>
        <v/>
      </c>
      <c r="AV10" s="62" t="str">
        <f t="shared" si="9"/>
        <v/>
      </c>
      <c r="AW10" s="62" t="str">
        <f t="shared" si="9"/>
        <v/>
      </c>
      <c r="AX10" s="62" t="str">
        <f t="shared" si="9"/>
        <v/>
      </c>
      <c r="AY10" s="62" t="str">
        <f t="shared" si="9"/>
        <v/>
      </c>
      <c r="AZ10" s="62" t="str">
        <f t="shared" si="9"/>
        <v/>
      </c>
      <c r="BA10" s="62" t="str">
        <f t="shared" si="9"/>
        <v/>
      </c>
      <c r="BB10" s="62" t="str">
        <f t="shared" si="9"/>
        <v/>
      </c>
      <c r="BC10" s="62" t="str">
        <f t="shared" si="9"/>
        <v/>
      </c>
      <c r="BD10" s="62" t="str">
        <f t="shared" si="9"/>
        <v/>
      </c>
      <c r="BE10" s="62" t="str">
        <f t="shared" si="9"/>
        <v/>
      </c>
      <c r="BF10" s="62" t="str">
        <f t="shared" si="9"/>
        <v/>
      </c>
      <c r="BI10" s="67" t="s">
        <v>19</v>
      </c>
      <c r="BJ10" s="67"/>
      <c r="BK10" s="62" t="e">
        <f t="shared" ref="BK10:BY10" si="10">IF(AR9="",NA(),INDEX($C$9:$Q$9,MATCH(AR9,$C$7:$Q$7,0)))</f>
        <v>#N/A</v>
      </c>
      <c r="BL10" s="62" t="e">
        <f t="shared" si="10"/>
        <v>#N/A</v>
      </c>
      <c r="BM10" s="62" t="e">
        <f t="shared" si="10"/>
        <v>#N/A</v>
      </c>
      <c r="BN10" s="62" t="e">
        <f t="shared" si="10"/>
        <v>#N/A</v>
      </c>
      <c r="BO10" s="62" t="e">
        <f t="shared" si="10"/>
        <v>#N/A</v>
      </c>
      <c r="BP10" s="62" t="e">
        <f t="shared" si="10"/>
        <v>#N/A</v>
      </c>
      <c r="BQ10" s="62" t="e">
        <f t="shared" si="10"/>
        <v>#N/A</v>
      </c>
      <c r="BR10" s="62" t="e">
        <f t="shared" si="10"/>
        <v>#N/A</v>
      </c>
      <c r="BS10" s="62" t="e">
        <f t="shared" si="10"/>
        <v>#N/A</v>
      </c>
      <c r="BT10" s="62" t="e">
        <f t="shared" si="10"/>
        <v>#N/A</v>
      </c>
      <c r="BU10" s="62" t="e">
        <f t="shared" si="10"/>
        <v>#N/A</v>
      </c>
      <c r="BV10" s="62" t="e">
        <f t="shared" si="10"/>
        <v>#N/A</v>
      </c>
      <c r="BW10" s="62" t="e">
        <f t="shared" si="10"/>
        <v>#N/A</v>
      </c>
      <c r="BX10" s="62" t="e">
        <f t="shared" si="10"/>
        <v>#N/A</v>
      </c>
      <c r="BY10" s="62" t="e">
        <f t="shared" si="10"/>
        <v>#N/A</v>
      </c>
      <c r="CA10" s="130"/>
      <c r="CB10" s="127"/>
      <c r="CC10" s="128"/>
      <c r="CD10" s="128"/>
      <c r="CE10" s="128"/>
      <c r="CF10" s="128"/>
      <c r="CG10" s="128"/>
      <c r="CH10" s="133"/>
      <c r="CI10" s="128"/>
      <c r="CJ10" s="128"/>
      <c r="CK10" s="128"/>
      <c r="CL10" s="128"/>
      <c r="CM10" s="127"/>
      <c r="CN10" s="127"/>
      <c r="CO10" s="127"/>
      <c r="CP10" s="127"/>
      <c r="CQ10" s="127"/>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7"/>
      <c r="DP10" s="127"/>
      <c r="DQ10" s="127"/>
      <c r="DR10" s="127"/>
      <c r="DS10" s="127"/>
      <c r="DT10" s="127"/>
      <c r="DU10" s="127"/>
      <c r="DV10" s="127"/>
      <c r="DW10" s="127"/>
      <c r="DX10" s="127"/>
      <c r="DY10" s="127"/>
      <c r="DZ10" s="127"/>
      <c r="EA10" s="127"/>
      <c r="EB10" s="127"/>
      <c r="EC10" s="127"/>
      <c r="ED10" s="131"/>
      <c r="EE10" s="131"/>
      <c r="EF10" s="131"/>
      <c r="EG10" s="131"/>
      <c r="EH10" s="131"/>
      <c r="EI10" s="131"/>
      <c r="EJ10" s="131"/>
      <c r="EK10" s="131"/>
      <c r="EL10" s="131"/>
      <c r="EM10" s="131"/>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row>
    <row r="11" spans="1:230" ht="25" customHeight="1" thickBot="1" x14ac:dyDescent="1.1499999999999999">
      <c r="A11" s="203" t="s">
        <v>259</v>
      </c>
      <c r="B11" s="204"/>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52" t="s">
        <v>262</v>
      </c>
      <c r="T11" s="152"/>
      <c r="U11" s="152" t="s">
        <v>263</v>
      </c>
      <c r="V11" s="152"/>
      <c r="W11" s="152" t="s">
        <v>63</v>
      </c>
      <c r="X11" s="152"/>
      <c r="Y11" s="152" t="s">
        <v>64</v>
      </c>
      <c r="Z11" s="152"/>
      <c r="AA11" s="168" t="s">
        <v>66</v>
      </c>
      <c r="AB11" s="168"/>
      <c r="AC11" s="21"/>
      <c r="AH11" s="12"/>
      <c r="AI11" s="12"/>
      <c r="AJ11" s="12"/>
      <c r="AK11" s="12"/>
      <c r="AL11" s="12"/>
      <c r="AM11" s="12"/>
      <c r="AN11" s="12"/>
      <c r="AO11" s="12"/>
      <c r="AP11" s="67" t="s">
        <v>0</v>
      </c>
      <c r="AQ11" s="67"/>
      <c r="AR11" s="61" t="str">
        <f t="shared" ref="AR11:BF11" si="12">IF(AR9="","",AR9*AR10)</f>
        <v/>
      </c>
      <c r="AS11" s="61" t="str">
        <f t="shared" si="12"/>
        <v/>
      </c>
      <c r="AT11" s="61" t="str">
        <f t="shared" si="12"/>
        <v/>
      </c>
      <c r="AU11" s="61" t="str">
        <f t="shared" si="12"/>
        <v/>
      </c>
      <c r="AV11" s="61" t="str">
        <f t="shared" si="12"/>
        <v/>
      </c>
      <c r="AW11" s="61" t="str">
        <f t="shared" si="12"/>
        <v/>
      </c>
      <c r="AX11" s="61" t="str">
        <f t="shared" si="12"/>
        <v/>
      </c>
      <c r="AY11" s="61" t="str">
        <f t="shared" si="12"/>
        <v/>
      </c>
      <c r="AZ11" s="61" t="str">
        <f t="shared" si="12"/>
        <v/>
      </c>
      <c r="BA11" s="61" t="str">
        <f t="shared" ref="BA11:BE11" si="13">IF(BA9="","",BA9*BA10)</f>
        <v/>
      </c>
      <c r="BB11" s="61" t="str">
        <f t="shared" si="13"/>
        <v/>
      </c>
      <c r="BC11" s="61" t="str">
        <f t="shared" si="13"/>
        <v/>
      </c>
      <c r="BD11" s="61" t="str">
        <f t="shared" si="13"/>
        <v/>
      </c>
      <c r="BE11" s="61" t="str">
        <f t="shared" si="13"/>
        <v/>
      </c>
      <c r="BF11" s="61" t="str">
        <f t="shared" si="12"/>
        <v/>
      </c>
      <c r="BI11" s="59" t="s">
        <v>0</v>
      </c>
      <c r="BJ11" s="59"/>
      <c r="BK11" s="62" t="e">
        <f t="shared" ref="BK11:BS11" si="14">IF(AR9="",NA(),AR9*AR10)</f>
        <v>#N/A</v>
      </c>
      <c r="BL11" s="62" t="e">
        <f t="shared" si="14"/>
        <v>#N/A</v>
      </c>
      <c r="BM11" s="62" t="e">
        <f t="shared" si="14"/>
        <v>#N/A</v>
      </c>
      <c r="BN11" s="62" t="e">
        <f t="shared" si="14"/>
        <v>#N/A</v>
      </c>
      <c r="BO11" s="62" t="e">
        <f t="shared" si="14"/>
        <v>#N/A</v>
      </c>
      <c r="BP11" s="62" t="e">
        <f t="shared" si="14"/>
        <v>#N/A</v>
      </c>
      <c r="BQ11" s="62" t="e">
        <f t="shared" si="14"/>
        <v>#N/A</v>
      </c>
      <c r="BR11" s="62" t="e">
        <f t="shared" si="14"/>
        <v>#N/A</v>
      </c>
      <c r="BS11" s="62" t="e">
        <f t="shared" si="14"/>
        <v>#N/A</v>
      </c>
      <c r="BT11" s="62" t="e">
        <f t="shared" ref="BT11:BY11" si="15">IF(BA9="",NA(),BA9*BA10)</f>
        <v>#N/A</v>
      </c>
      <c r="BU11" s="62" t="e">
        <f t="shared" si="15"/>
        <v>#N/A</v>
      </c>
      <c r="BV11" s="62" t="e">
        <f t="shared" si="15"/>
        <v>#N/A</v>
      </c>
      <c r="BW11" s="62" t="e">
        <f t="shared" si="15"/>
        <v>#N/A</v>
      </c>
      <c r="BX11" s="62" t="e">
        <f t="shared" si="15"/>
        <v>#N/A</v>
      </c>
      <c r="BY11" s="62" t="e">
        <f t="shared" si="15"/>
        <v>#N/A</v>
      </c>
      <c r="CA11" s="27"/>
      <c r="CC11" s="57"/>
      <c r="CD11" s="57"/>
      <c r="CE11" s="57"/>
      <c r="CF11" s="57"/>
      <c r="CG11" s="57"/>
      <c r="CH11" s="134"/>
      <c r="CI11" s="57"/>
      <c r="CJ11" s="57"/>
      <c r="CK11" s="57"/>
      <c r="CL11" s="57"/>
      <c r="CS11" s="76"/>
      <c r="CT11" s="76"/>
      <c r="CU11" s="76"/>
      <c r="CV11" s="76"/>
      <c r="CW11" s="76"/>
      <c r="CX11" s="76"/>
      <c r="CY11" s="76"/>
      <c r="CZ11" s="76"/>
      <c r="DA11" s="76"/>
      <c r="DB11" s="76"/>
      <c r="DC11" s="76"/>
      <c r="DD11" s="76"/>
      <c r="DE11" s="76"/>
      <c r="DF11" s="76"/>
      <c r="DG11" s="76"/>
      <c r="DH11" s="76"/>
      <c r="DI11" s="76"/>
      <c r="DJ11" s="76"/>
      <c r="DK11" s="76"/>
      <c r="DL11" s="76"/>
      <c r="DM11" s="76"/>
      <c r="DN11" s="76"/>
      <c r="ED11" s="77"/>
      <c r="EE11" s="77"/>
      <c r="EF11" s="77"/>
      <c r="EG11" s="77"/>
      <c r="EH11" s="77"/>
      <c r="EI11" s="77"/>
      <c r="EJ11" s="77"/>
      <c r="EK11" s="77"/>
      <c r="EL11" s="77"/>
      <c r="EM11" s="77"/>
    </row>
    <row r="12" spans="1:230" ht="25" customHeight="1" thickBot="1" x14ac:dyDescent="0.55000000000000004">
      <c r="A12" s="193" t="s">
        <v>120</v>
      </c>
      <c r="B12" s="194"/>
      <c r="C12" s="30"/>
      <c r="D12" s="30"/>
      <c r="E12" s="30"/>
      <c r="F12" s="30"/>
      <c r="G12" s="30"/>
      <c r="H12" s="30"/>
      <c r="I12" s="30"/>
      <c r="J12" s="30"/>
      <c r="K12" s="30"/>
      <c r="L12" s="30"/>
      <c r="M12" s="30"/>
      <c r="N12" s="30"/>
      <c r="O12" s="30"/>
      <c r="P12" s="30"/>
      <c r="Q12" s="31"/>
      <c r="S12" s="151" t="e">
        <f>U65</f>
        <v>#DIV/0!</v>
      </c>
      <c r="T12" s="151"/>
      <c r="U12" s="153" t="e">
        <f>U71/U70</f>
        <v>#N/A</v>
      </c>
      <c r="V12" s="153"/>
      <c r="W12" s="151" t="e">
        <f>U71</f>
        <v>#N/A</v>
      </c>
      <c r="X12" s="151"/>
      <c r="Y12" s="154" t="e">
        <f>U72</f>
        <v>#N/A</v>
      </c>
      <c r="Z12" s="154"/>
      <c r="AA12" s="153" t="e">
        <f>U74</f>
        <v>#N/A</v>
      </c>
      <c r="AB12" s="153"/>
      <c r="AC12" s="21"/>
      <c r="AH12" s="12"/>
      <c r="AI12" s="12"/>
      <c r="AJ12" s="12"/>
      <c r="AK12" s="12"/>
      <c r="AL12" s="12"/>
      <c r="AM12" s="12"/>
      <c r="AN12" s="12"/>
      <c r="AP12" s="59" t="s">
        <v>119</v>
      </c>
      <c r="AQ12" s="59"/>
      <c r="AR12" s="63" t="str">
        <f>IF(AR9="","",IF(INDEX($AR$5:$BF$5,MATCH(AR9,$C$7:$Q$7,0))="","",IF(INDEX($AR$5:$BF$5,MATCH(AR9,$C$7:$Q$7,0))=FALSE,"",INDEX($AR$5:$BF$5,MATCH(AR9,$C$7:$Q$7,0)))))</f>
        <v/>
      </c>
      <c r="AS12" s="63" t="str">
        <f>IF(AS9="","",IF(INDEX($AR$5:$BF$5,MATCH(AS9,$C$7:$Q$7,0))="","",IF(INDEX($AR$5:$BF$5,MATCH(AS9,$C$7:$Q$7,0))=FALSE,"",INDEX($AR$5:$BF$5,MATCH(AS9,$C$7:$Q$7,0)))))</f>
        <v/>
      </c>
      <c r="AT12" s="63" t="str">
        <f t="shared" ref="AT12:BF12" si="16">IF(AT9="","",IF(INDEX($AR$5:$BF$5,MATCH(AT9,$C$7:$Q$7,0))="","",IF(INDEX($AR$5:$BF$5,MATCH(AT9,$C$7:$Q$7,0))=FALSE,"",INDEX($AR$5:$BF$5,MATCH(AT9,$C$7:$Q$7,0)))))</f>
        <v/>
      </c>
      <c r="AU12" s="63" t="str">
        <f t="shared" si="16"/>
        <v/>
      </c>
      <c r="AV12" s="63" t="str">
        <f t="shared" si="16"/>
        <v/>
      </c>
      <c r="AW12" s="63" t="str">
        <f t="shared" si="16"/>
        <v/>
      </c>
      <c r="AX12" s="63" t="str">
        <f t="shared" si="16"/>
        <v/>
      </c>
      <c r="AY12" s="63" t="str">
        <f t="shared" si="16"/>
        <v/>
      </c>
      <c r="AZ12" s="63" t="str">
        <f t="shared" si="16"/>
        <v/>
      </c>
      <c r="BA12" s="63" t="str">
        <f t="shared" si="16"/>
        <v/>
      </c>
      <c r="BB12" s="63" t="str">
        <f t="shared" si="16"/>
        <v/>
      </c>
      <c r="BC12" s="63" t="str">
        <f t="shared" si="16"/>
        <v/>
      </c>
      <c r="BD12" s="63" t="str">
        <f t="shared" si="16"/>
        <v/>
      </c>
      <c r="BE12" s="63" t="str">
        <f t="shared" si="16"/>
        <v/>
      </c>
      <c r="BF12" s="63" t="str">
        <f t="shared" si="16"/>
        <v/>
      </c>
      <c r="CA12" s="27"/>
      <c r="CC12" s="57"/>
      <c r="CD12" s="57"/>
      <c r="CE12" s="57"/>
      <c r="CF12" s="57"/>
      <c r="CG12" s="57"/>
      <c r="CH12" s="134"/>
      <c r="CI12" s="57"/>
      <c r="CJ12" s="57"/>
      <c r="CK12" s="57"/>
      <c r="CL12" s="57"/>
      <c r="ED12" s="77"/>
      <c r="EE12" s="77"/>
      <c r="EF12" s="77"/>
      <c r="EG12" s="77"/>
      <c r="EH12" s="77"/>
      <c r="EI12" s="77"/>
      <c r="EJ12" s="77"/>
      <c r="EK12" s="77"/>
      <c r="EL12" s="77"/>
      <c r="EM12" s="77"/>
    </row>
    <row r="13" spans="1:230" ht="25" customHeight="1" thickBot="1" x14ac:dyDescent="0.55000000000000004">
      <c r="S13" s="151"/>
      <c r="T13" s="151"/>
      <c r="U13" s="153"/>
      <c r="V13" s="153"/>
      <c r="W13" s="151"/>
      <c r="X13" s="151"/>
      <c r="Y13" s="154"/>
      <c r="Z13" s="154"/>
      <c r="AA13" s="153"/>
      <c r="AB13" s="153"/>
      <c r="AH13" s="12"/>
      <c r="AI13" s="12"/>
      <c r="AJ13" s="12"/>
      <c r="AK13" s="12"/>
      <c r="AL13" s="12"/>
      <c r="AM13" s="12"/>
      <c r="AN13" s="12"/>
      <c r="AO13" s="12"/>
      <c r="AP13" s="59" t="s">
        <v>59</v>
      </c>
      <c r="AQ13" s="59"/>
      <c r="AR13" s="78">
        <f>IF(AR9="",0,IF(AR12="",1,0))</f>
        <v>0</v>
      </c>
      <c r="AS13" s="78">
        <f t="shared" ref="AS13:BF13" si="17">IF(AS9="",0,IF(AS12="",1,0))</f>
        <v>0</v>
      </c>
      <c r="AT13" s="78">
        <f t="shared" si="17"/>
        <v>0</v>
      </c>
      <c r="AU13" s="78">
        <f t="shared" si="17"/>
        <v>0</v>
      </c>
      <c r="AV13" s="78">
        <f t="shared" si="17"/>
        <v>0</v>
      </c>
      <c r="AW13" s="78">
        <f t="shared" si="17"/>
        <v>0</v>
      </c>
      <c r="AX13" s="78">
        <f t="shared" si="17"/>
        <v>0</v>
      </c>
      <c r="AY13" s="78">
        <f t="shared" si="17"/>
        <v>0</v>
      </c>
      <c r="AZ13" s="78">
        <f t="shared" si="17"/>
        <v>0</v>
      </c>
      <c r="BA13" s="78">
        <f t="shared" si="17"/>
        <v>0</v>
      </c>
      <c r="BB13" s="78">
        <f t="shared" si="17"/>
        <v>0</v>
      </c>
      <c r="BC13" s="78">
        <f t="shared" si="17"/>
        <v>0</v>
      </c>
      <c r="BD13" s="78">
        <f t="shared" si="17"/>
        <v>0</v>
      </c>
      <c r="BE13" s="78">
        <f t="shared" si="17"/>
        <v>0</v>
      </c>
      <c r="BF13" s="78">
        <f t="shared" si="17"/>
        <v>0</v>
      </c>
      <c r="CA13" s="27"/>
      <c r="CB13" s="27"/>
      <c r="CC13" s="57"/>
      <c r="CD13" s="57"/>
      <c r="CE13" s="57"/>
      <c r="CF13" s="57"/>
      <c r="CG13" s="57"/>
      <c r="CH13" s="134"/>
      <c r="CI13" s="57"/>
      <c r="CJ13" s="57"/>
      <c r="CK13" s="57"/>
      <c r="CL13" s="57"/>
      <c r="ED13" s="77"/>
      <c r="EE13" s="77"/>
      <c r="EF13" s="77"/>
      <c r="EG13" s="77"/>
      <c r="EH13" s="77"/>
      <c r="EI13" s="77"/>
      <c r="EJ13" s="77"/>
      <c r="EK13" s="77"/>
      <c r="EL13" s="77"/>
      <c r="EM13" s="77"/>
    </row>
    <row r="14" spans="1:230" ht="25" customHeight="1" thickBot="1" x14ac:dyDescent="0.55000000000000004">
      <c r="A14" s="195" t="s">
        <v>246</v>
      </c>
      <c r="B14" s="196"/>
      <c r="C14" s="32" t="str">
        <f t="shared" ref="C14:P14" si="18">IF(C9="","",C9*C7)</f>
        <v/>
      </c>
      <c r="D14" s="32" t="str">
        <f t="shared" si="18"/>
        <v/>
      </c>
      <c r="E14" s="32" t="str">
        <f t="shared" si="18"/>
        <v/>
      </c>
      <c r="F14" s="32" t="str">
        <f t="shared" si="18"/>
        <v/>
      </c>
      <c r="G14" s="32" t="str">
        <f t="shared" si="18"/>
        <v/>
      </c>
      <c r="H14" s="32" t="str">
        <f t="shared" si="18"/>
        <v/>
      </c>
      <c r="I14" s="32" t="str">
        <f t="shared" si="18"/>
        <v/>
      </c>
      <c r="J14" s="32" t="str">
        <f t="shared" si="18"/>
        <v/>
      </c>
      <c r="K14" s="32" t="str">
        <f t="shared" si="18"/>
        <v/>
      </c>
      <c r="L14" s="32" t="str">
        <f t="shared" si="18"/>
        <v/>
      </c>
      <c r="M14" s="32" t="str">
        <f t="shared" si="18"/>
        <v/>
      </c>
      <c r="N14" s="32" t="str">
        <f t="shared" si="18"/>
        <v/>
      </c>
      <c r="O14" s="32" t="str">
        <f t="shared" si="18"/>
        <v/>
      </c>
      <c r="P14" s="32" t="str">
        <f t="shared" si="18"/>
        <v/>
      </c>
      <c r="Q14" s="33" t="str">
        <f>IF(Q7="","",Q9*Q7)</f>
        <v/>
      </c>
      <c r="S14" s="151"/>
      <c r="T14" s="151"/>
      <c r="U14" s="153"/>
      <c r="V14" s="153"/>
      <c r="W14" s="151"/>
      <c r="X14" s="151"/>
      <c r="Y14" s="154"/>
      <c r="Z14" s="154"/>
      <c r="AA14" s="153"/>
      <c r="AB14" s="153"/>
      <c r="AC14" s="21"/>
      <c r="AH14" s="12"/>
      <c r="AI14" s="12"/>
      <c r="AJ14" s="12"/>
      <c r="AK14" s="12"/>
      <c r="AL14" s="12"/>
      <c r="AM14" s="12"/>
      <c r="AN14" s="12"/>
      <c r="AO14" s="12"/>
      <c r="AP14" s="59" t="s">
        <v>33</v>
      </c>
      <c r="AQ14" s="59"/>
      <c r="AR14" s="78">
        <f>IF(AR9=MAX(AR9:BF9),1,0)</f>
        <v>0</v>
      </c>
      <c r="AS14" s="78" t="str">
        <f>IF(AS10="","",IF(AS10=MAX(AS10:$BF$10),1,0))</f>
        <v/>
      </c>
      <c r="AT14" s="78" t="str">
        <f>IF(AT10="","",IF(AT10=MAX(AT10:$BF$10),1,0))</f>
        <v/>
      </c>
      <c r="AU14" s="78" t="str">
        <f>IF(AU10="","",IF(AU10=MAX(AU10:$BF$10),1,0))</f>
        <v/>
      </c>
      <c r="AV14" s="78" t="str">
        <f>IF(AV10="","",IF(AV10=MAX(AV10:$BF$10),1,0))</f>
        <v/>
      </c>
      <c r="AW14" s="78" t="str">
        <f>IF(AW10="","",IF(AW10=MAX(AW10:$BF$10),1,0))</f>
        <v/>
      </c>
      <c r="AX14" s="78" t="str">
        <f>IF(AX10="","",IF(AX10=MAX(AX10:$BF$10),1,0))</f>
        <v/>
      </c>
      <c r="AY14" s="78" t="str">
        <f>IF(AY10="","",IF(AY10=MAX(AY10:$BF$10),1,0))</f>
        <v/>
      </c>
      <c r="AZ14" s="78" t="str">
        <f>IF(AZ10="","",IF(AZ10=MAX(AZ10:$BF$10),1,0))</f>
        <v/>
      </c>
      <c r="BA14" s="78" t="str">
        <f>IF(BA10="","",IF(BA10=MAX(BA10:$BF$10),1,0))</f>
        <v/>
      </c>
      <c r="BB14" s="78" t="str">
        <f>IF(BB10="","",IF(BB10=MAX(BB10:$BF$10),1,0))</f>
        <v/>
      </c>
      <c r="BC14" s="78" t="str">
        <f>IF(BC10="","",IF(BC10=MAX(BC10:$BF$10),1,0))</f>
        <v/>
      </c>
      <c r="BD14" s="78" t="str">
        <f>IF(BD10="","",IF(BD10=MAX(BD10:$BF$10),1,0))</f>
        <v/>
      </c>
      <c r="BE14" s="78" t="str">
        <f>IF(BE10="","",IF(BE10=MAX(BE10:$BF$10),1,0))</f>
        <v/>
      </c>
      <c r="BF14" s="78" t="str">
        <f>IF(BF10="","",IF(BF10=MAX(BF10:$BF$10),1,0))</f>
        <v/>
      </c>
      <c r="CA14" s="27"/>
      <c r="CB14" s="27"/>
      <c r="CC14" s="57"/>
      <c r="CD14" s="57"/>
      <c r="CE14" s="57"/>
      <c r="CF14" s="57"/>
      <c r="CG14" s="57"/>
      <c r="CH14" s="134"/>
      <c r="CI14" s="57"/>
      <c r="CJ14" s="57"/>
      <c r="CK14" s="57"/>
      <c r="CL14" s="57"/>
      <c r="CS14" s="55"/>
      <c r="CT14" s="52"/>
      <c r="CU14" s="55"/>
      <c r="CX14" s="52"/>
      <c r="CY14" s="55"/>
      <c r="CZ14" s="55"/>
      <c r="DA14" s="55"/>
      <c r="DB14" s="52"/>
      <c r="DC14" s="55"/>
      <c r="DD14" s="55"/>
      <c r="ED14" s="77"/>
      <c r="EE14" s="77"/>
      <c r="EF14" s="77"/>
      <c r="EG14" s="77"/>
      <c r="EH14" s="77"/>
      <c r="EI14" s="77"/>
      <c r="EJ14" s="77"/>
      <c r="EK14" s="77"/>
      <c r="EL14" s="77"/>
      <c r="EM14" s="77"/>
    </row>
    <row r="15" spans="1:230" ht="25" customHeight="1" thickBot="1" x14ac:dyDescent="0.55000000000000004">
      <c r="S15" s="12"/>
      <c r="T15" s="12"/>
      <c r="U15" s="34"/>
      <c r="V15" s="34"/>
      <c r="W15" s="27"/>
      <c r="X15" s="27"/>
      <c r="Y15" s="27"/>
      <c r="Z15" s="27"/>
      <c r="AA15" s="27"/>
      <c r="AB15" s="27"/>
      <c r="AC15" s="21"/>
      <c r="AH15" s="12"/>
      <c r="AI15" s="12"/>
      <c r="AJ15" s="12"/>
      <c r="AK15" s="12"/>
      <c r="AL15" s="12"/>
      <c r="AM15" s="12"/>
      <c r="AN15" s="12"/>
      <c r="AO15" s="12"/>
      <c r="AP15" s="59" t="s">
        <v>34</v>
      </c>
      <c r="AQ15" s="59"/>
      <c r="AR15" s="78"/>
      <c r="AS15" s="78"/>
      <c r="AT15" s="78" t="str">
        <f>IF(AT10="","",IF(AND(AT11&lt;=MAX($AR$11:AS11),AT11&lt;=MAX(AU11:$BF$11)),0,1))</f>
        <v/>
      </c>
      <c r="AU15" s="78" t="str">
        <f>IF(AU10="","",IF(AND(AU11&lt;=MAX($AR$11:AT11),AU11&lt;=MAX(AV11:$BF$11)),0,1))</f>
        <v/>
      </c>
      <c r="AV15" s="78" t="str">
        <f>IF(AV10="","",IF(AND(AV11&lt;=MAX($AR$11:AU11),AV11&lt;=MAX(AW11:$BF$11)),0,1))</f>
        <v/>
      </c>
      <c r="AW15" s="78" t="str">
        <f>IF(AW10="","",IF(AND(AW11&lt;=MAX($AR$11:AV11),AW11&lt;=MAX(AX11:$BF$11)),0,1))</f>
        <v/>
      </c>
      <c r="AX15" s="78" t="str">
        <f>IF(AX10="","",IF(AND(AX11&lt;=MAX($AR$11:AW11),AX11&lt;=MAX(AY11:$BF$11)),0,1))</f>
        <v/>
      </c>
      <c r="AY15" s="78" t="str">
        <f>IF(AY10="","",IF(AND(AY11&lt;=MAX($AR$11:AX11),AY11&lt;=MAX(AZ11:$BF$11)),0,1))</f>
        <v/>
      </c>
      <c r="AZ15" s="78" t="str">
        <f>IF(AZ10="","",IF(AND(AZ11&lt;=MAX($AR$11:AY11),AZ11&lt;=MAX(BA11:$BF$11)),0,1))</f>
        <v/>
      </c>
      <c r="BA15" s="78" t="str">
        <f>IF(BA10="","",IF(AND(BA11&lt;=MAX($AR$11:AZ11),BA11&lt;=MAX(BB11:$BF$11)),0,1))</f>
        <v/>
      </c>
      <c r="BB15" s="78" t="str">
        <f>IF(BB10="","",IF(AND(BB11&lt;=MAX($AR$11:BA11),BB11&lt;=MAX(BC11:$BF$11)),0,1))</f>
        <v/>
      </c>
      <c r="BC15" s="78" t="str">
        <f>IF(BC10="","",IF(AND(BC11&lt;=MAX($AR$11:BB11),BC11&lt;=MAX(BD11:$BF$11)),0,1))</f>
        <v/>
      </c>
      <c r="BD15" s="78" t="str">
        <f>IF(BD10="","",IF(AND(BD11&lt;=MAX($AR$11:BC11),BD11&lt;=MAX(BE11:$BF$11)),0,1))</f>
        <v/>
      </c>
      <c r="BE15" s="78" t="str">
        <f>IF(BE10="","",IF(AND(BE11&lt;=MAX($AR$11:BD11),BE11&lt;=MAX(BF11:$BF$11)),0,1))</f>
        <v/>
      </c>
      <c r="BF15" s="78"/>
      <c r="CA15" s="27"/>
      <c r="CB15" s="27"/>
      <c r="CC15" s="57"/>
      <c r="CD15" s="57"/>
      <c r="CE15" s="57"/>
      <c r="CF15" s="57"/>
      <c r="CG15" s="57"/>
      <c r="CH15" s="57"/>
      <c r="CI15" s="57"/>
      <c r="CJ15" s="57"/>
      <c r="CK15" s="57"/>
      <c r="CL15" s="57"/>
      <c r="ED15" s="77"/>
      <c r="EE15" s="77"/>
      <c r="EF15" s="77"/>
      <c r="EG15" s="77"/>
      <c r="EH15" s="77"/>
      <c r="EI15" s="77"/>
      <c r="EJ15" s="77"/>
      <c r="EK15" s="77"/>
      <c r="EL15" s="77"/>
      <c r="EM15" s="77"/>
    </row>
    <row r="16" spans="1:230" ht="25" customHeight="1" thickBot="1" x14ac:dyDescent="0.7">
      <c r="A16" s="201" t="s">
        <v>247</v>
      </c>
      <c r="B16" s="202"/>
      <c r="S16" s="35" t="s">
        <v>244</v>
      </c>
      <c r="T16" s="36"/>
      <c r="U16" s="36"/>
      <c r="V16" s="36"/>
      <c r="W16" s="37"/>
      <c r="Y16" s="169" t="s">
        <v>127</v>
      </c>
      <c r="Z16" s="170"/>
      <c r="AA16" s="170"/>
      <c r="AB16" s="171"/>
      <c r="AC16" s="21"/>
      <c r="AH16" s="12"/>
      <c r="AI16" s="12"/>
      <c r="AJ16" s="12"/>
      <c r="AK16" s="12"/>
      <c r="AL16" s="12"/>
      <c r="AM16" s="12"/>
      <c r="AN16" s="12"/>
      <c r="AO16" s="12"/>
      <c r="AP16" s="59" t="s">
        <v>35</v>
      </c>
      <c r="AQ16" s="59"/>
      <c r="AR16" s="78" t="str">
        <f>IF(AR13=0,"",MIN(AR14:AR15))</f>
        <v/>
      </c>
      <c r="AS16" s="78" t="str">
        <f>IF(AS13=0,"",MIN(AS14:AS15))</f>
        <v/>
      </c>
      <c r="AT16" s="78" t="str">
        <f t="shared" ref="AT16:AZ16" si="19">IF(AT13=0,"",MIN(AT14:AT15))</f>
        <v/>
      </c>
      <c r="AU16" s="78" t="str">
        <f t="shared" si="19"/>
        <v/>
      </c>
      <c r="AV16" s="78" t="str">
        <f t="shared" si="19"/>
        <v/>
      </c>
      <c r="AW16" s="78" t="str">
        <f t="shared" si="19"/>
        <v/>
      </c>
      <c r="AX16" s="78" t="str">
        <f t="shared" si="19"/>
        <v/>
      </c>
      <c r="AY16" s="78" t="str">
        <f t="shared" si="19"/>
        <v/>
      </c>
      <c r="AZ16" s="78" t="str">
        <f t="shared" si="19"/>
        <v/>
      </c>
      <c r="BA16" s="78" t="str">
        <f t="shared" ref="BA16:BE16" si="20">IF(BA13=0,"",MIN(BA14:BA15))</f>
        <v/>
      </c>
      <c r="BB16" s="78" t="str">
        <f t="shared" si="20"/>
        <v/>
      </c>
      <c r="BC16" s="78" t="str">
        <f t="shared" si="20"/>
        <v/>
      </c>
      <c r="BD16" s="78" t="str">
        <f t="shared" si="20"/>
        <v/>
      </c>
      <c r="BE16" s="78" t="str">
        <f t="shared" si="20"/>
        <v/>
      </c>
      <c r="BF16" s="78" t="str">
        <f>IF(BF13=0,"",MIN(BF14:BF15))</f>
        <v/>
      </c>
      <c r="CA16" s="27"/>
      <c r="CB16" s="27"/>
      <c r="CC16" s="57"/>
      <c r="CD16" s="57"/>
      <c r="CE16" s="57"/>
      <c r="CF16" s="57"/>
      <c r="CG16" s="57"/>
      <c r="CH16" s="57"/>
      <c r="CI16" s="57"/>
      <c r="CJ16" s="57"/>
      <c r="CK16" s="57"/>
      <c r="CL16" s="57"/>
      <c r="ED16" s="77"/>
      <c r="EE16" s="77"/>
      <c r="EF16" s="77"/>
      <c r="EG16" s="77"/>
      <c r="EH16" s="77"/>
      <c r="EI16" s="77"/>
      <c r="EJ16" s="77"/>
      <c r="EK16" s="77"/>
      <c r="EL16" s="77"/>
      <c r="EM16" s="77"/>
    </row>
    <row r="17" spans="1:143" ht="25" customHeight="1" x14ac:dyDescent="0.5">
      <c r="A17" s="197" t="s">
        <v>121</v>
      </c>
      <c r="B17" s="198"/>
      <c r="C17" s="2"/>
      <c r="D17" s="2"/>
      <c r="E17" s="2"/>
      <c r="F17" s="2"/>
      <c r="G17" s="2"/>
      <c r="H17" s="2"/>
      <c r="I17" s="2"/>
      <c r="J17" s="2"/>
      <c r="K17" s="2"/>
      <c r="L17" s="2"/>
      <c r="M17" s="2"/>
      <c r="N17" s="2"/>
      <c r="O17" s="2"/>
      <c r="P17" s="2"/>
      <c r="Q17" s="3"/>
      <c r="Y17" s="159" t="str">
        <f>IF(Z64=1,AC68,IF(Z64=2,AC69,IF(Z64=3,AC70,IF(Z64=4,AC71,IF(Z64=5,AC72)))))</f>
        <v>Linear equation applied to all recorded data above 45% T0.</v>
      </c>
      <c r="Z17" s="160"/>
      <c r="AA17" s="160"/>
      <c r="AB17" s="161"/>
      <c r="AC17" s="21"/>
      <c r="AH17" s="12"/>
      <c r="AI17" s="12"/>
      <c r="AJ17" s="12"/>
      <c r="AK17" s="12"/>
      <c r="AL17" s="12"/>
      <c r="AM17" s="12"/>
      <c r="AN17" s="12"/>
      <c r="AO17" s="12"/>
      <c r="AP17" s="53" t="s">
        <v>47</v>
      </c>
      <c r="BI17" s="53" t="s">
        <v>47</v>
      </c>
      <c r="CA17" s="27"/>
      <c r="CB17" s="27"/>
      <c r="CC17" s="57"/>
      <c r="CD17" s="57"/>
      <c r="CE17" s="57"/>
      <c r="CF17" s="57"/>
      <c r="CG17" s="57"/>
      <c r="CH17" s="57"/>
      <c r="CI17" s="57"/>
      <c r="CJ17" s="57"/>
      <c r="CK17" s="57"/>
      <c r="CL17" s="57"/>
      <c r="ED17" s="77"/>
      <c r="EE17" s="77"/>
      <c r="EF17" s="77"/>
      <c r="EG17" s="77"/>
      <c r="EH17" s="77"/>
      <c r="EI17" s="77"/>
      <c r="EJ17" s="77"/>
      <c r="EK17" s="77"/>
      <c r="EL17" s="77"/>
      <c r="EM17" s="77"/>
    </row>
    <row r="18" spans="1:143" ht="25" customHeight="1" x14ac:dyDescent="0.65">
      <c r="A18" s="199" t="s">
        <v>122</v>
      </c>
      <c r="B18" s="200"/>
      <c r="C18" s="1"/>
      <c r="D18" s="1"/>
      <c r="E18" s="1"/>
      <c r="F18" s="1"/>
      <c r="G18" s="1"/>
      <c r="H18" s="1"/>
      <c r="I18" s="1"/>
      <c r="J18" s="1"/>
      <c r="K18" s="1"/>
      <c r="L18" s="1"/>
      <c r="M18" s="1"/>
      <c r="N18" s="1"/>
      <c r="O18" s="1"/>
      <c r="P18" s="1"/>
      <c r="Q18" s="4"/>
      <c r="W18" s="38"/>
      <c r="Y18" s="162"/>
      <c r="Z18" s="163"/>
      <c r="AA18" s="163"/>
      <c r="AB18" s="164"/>
      <c r="AC18" s="21"/>
      <c r="AH18" s="12"/>
      <c r="AI18" s="12"/>
      <c r="AJ18" s="12"/>
      <c r="AK18" s="12"/>
      <c r="AL18" s="12"/>
      <c r="AM18" s="12"/>
      <c r="AN18" s="12"/>
      <c r="AO18" s="12"/>
      <c r="AP18" s="65" t="s">
        <v>23</v>
      </c>
      <c r="AQ18" s="59"/>
      <c r="AR18" s="62" t="str">
        <f t="shared" ref="AR18:BF18" si="21">IF(AR$16=1,AR9,"")</f>
        <v/>
      </c>
      <c r="AS18" s="62" t="str">
        <f t="shared" si="21"/>
        <v/>
      </c>
      <c r="AT18" s="62" t="str">
        <f t="shared" si="21"/>
        <v/>
      </c>
      <c r="AU18" s="62" t="str">
        <f t="shared" si="21"/>
        <v/>
      </c>
      <c r="AV18" s="62" t="str">
        <f t="shared" si="21"/>
        <v/>
      </c>
      <c r="AW18" s="62" t="str">
        <f t="shared" si="21"/>
        <v/>
      </c>
      <c r="AX18" s="62" t="str">
        <f t="shared" si="21"/>
        <v/>
      </c>
      <c r="AY18" s="62" t="str">
        <f t="shared" si="21"/>
        <v/>
      </c>
      <c r="AZ18" s="62" t="str">
        <f t="shared" si="21"/>
        <v/>
      </c>
      <c r="BA18" s="62" t="str">
        <f t="shared" si="21"/>
        <v/>
      </c>
      <c r="BB18" s="62" t="str">
        <f t="shared" si="21"/>
        <v/>
      </c>
      <c r="BC18" s="62" t="str">
        <f t="shared" si="21"/>
        <v/>
      </c>
      <c r="BD18" s="62" t="str">
        <f t="shared" si="21"/>
        <v/>
      </c>
      <c r="BE18" s="62" t="str">
        <f t="shared" si="21"/>
        <v/>
      </c>
      <c r="BF18" s="62" t="str">
        <f t="shared" si="21"/>
        <v/>
      </c>
      <c r="BI18" s="67" t="s">
        <v>23</v>
      </c>
      <c r="BJ18" s="67"/>
      <c r="BK18" s="62" t="e">
        <f t="shared" ref="BK18:BY20" si="22">IF(AR$16=1,AR9,NA())</f>
        <v>#N/A</v>
      </c>
      <c r="BL18" s="62" t="e">
        <f t="shared" si="22"/>
        <v>#N/A</v>
      </c>
      <c r="BM18" s="62" t="e">
        <f t="shared" si="22"/>
        <v>#N/A</v>
      </c>
      <c r="BN18" s="62" t="e">
        <f t="shared" si="22"/>
        <v>#N/A</v>
      </c>
      <c r="BO18" s="62" t="e">
        <f t="shared" si="22"/>
        <v>#N/A</v>
      </c>
      <c r="BP18" s="62" t="e">
        <f t="shared" si="22"/>
        <v>#N/A</v>
      </c>
      <c r="BQ18" s="62" t="e">
        <f t="shared" si="22"/>
        <v>#N/A</v>
      </c>
      <c r="BR18" s="62" t="e">
        <f t="shared" si="22"/>
        <v>#N/A</v>
      </c>
      <c r="BS18" s="62" t="e">
        <f t="shared" si="22"/>
        <v>#N/A</v>
      </c>
      <c r="BT18" s="62" t="e">
        <f t="shared" si="22"/>
        <v>#N/A</v>
      </c>
      <c r="BU18" s="62" t="e">
        <f t="shared" si="22"/>
        <v>#N/A</v>
      </c>
      <c r="BV18" s="62" t="e">
        <f t="shared" si="22"/>
        <v>#N/A</v>
      </c>
      <c r="BW18" s="62" t="e">
        <f t="shared" si="22"/>
        <v>#N/A</v>
      </c>
      <c r="BX18" s="62" t="e">
        <f t="shared" si="22"/>
        <v>#N/A</v>
      </c>
      <c r="BY18" s="62" t="e">
        <f t="shared" si="22"/>
        <v>#N/A</v>
      </c>
      <c r="ED18" s="77"/>
      <c r="EE18" s="77"/>
      <c r="EF18" s="77"/>
      <c r="EG18" s="77"/>
      <c r="EH18" s="77"/>
      <c r="EI18" s="77"/>
      <c r="EJ18" s="77"/>
      <c r="EK18" s="77"/>
      <c r="EL18" s="77"/>
      <c r="EM18" s="77"/>
    </row>
    <row r="19" spans="1:143" ht="25" customHeight="1" thickBot="1" x14ac:dyDescent="0.7">
      <c r="A19" s="189" t="s">
        <v>123</v>
      </c>
      <c r="B19" s="190"/>
      <c r="C19" s="5"/>
      <c r="D19" s="5"/>
      <c r="E19" s="5"/>
      <c r="F19" s="5"/>
      <c r="G19" s="5"/>
      <c r="H19" s="5"/>
      <c r="I19" s="5"/>
      <c r="J19" s="5"/>
      <c r="K19" s="5"/>
      <c r="L19" s="5"/>
      <c r="M19" s="5"/>
      <c r="N19" s="5"/>
      <c r="O19" s="5"/>
      <c r="P19" s="5"/>
      <c r="Q19" s="6"/>
      <c r="S19" s="39" t="s">
        <v>126</v>
      </c>
      <c r="U19" s="10">
        <v>0.15</v>
      </c>
      <c r="V19" s="40" t="s">
        <v>292</v>
      </c>
      <c r="Y19" s="165"/>
      <c r="Z19" s="166"/>
      <c r="AA19" s="166"/>
      <c r="AB19" s="167"/>
      <c r="AC19" s="12"/>
      <c r="AH19" s="12"/>
      <c r="AI19" s="12"/>
      <c r="AJ19" s="12"/>
      <c r="AK19" s="12"/>
      <c r="AL19" s="12"/>
      <c r="AM19" s="12"/>
      <c r="AN19" s="12"/>
      <c r="AO19" s="12"/>
      <c r="AP19" s="67" t="s">
        <v>18</v>
      </c>
      <c r="AQ19" s="59"/>
      <c r="AR19" s="62" t="str">
        <f t="shared" ref="AR19:BF19" si="23">IF(AR$16=1,AR10,"")</f>
        <v/>
      </c>
      <c r="AS19" s="62" t="str">
        <f t="shared" si="23"/>
        <v/>
      </c>
      <c r="AT19" s="62" t="str">
        <f t="shared" si="23"/>
        <v/>
      </c>
      <c r="AU19" s="62" t="str">
        <f t="shared" si="23"/>
        <v/>
      </c>
      <c r="AV19" s="62" t="str">
        <f t="shared" si="23"/>
        <v/>
      </c>
      <c r="AW19" s="62" t="str">
        <f t="shared" si="23"/>
        <v/>
      </c>
      <c r="AX19" s="62" t="str">
        <f t="shared" si="23"/>
        <v/>
      </c>
      <c r="AY19" s="62" t="str">
        <f t="shared" si="23"/>
        <v/>
      </c>
      <c r="AZ19" s="62" t="str">
        <f t="shared" si="23"/>
        <v/>
      </c>
      <c r="BA19" s="62" t="str">
        <f t="shared" si="23"/>
        <v/>
      </c>
      <c r="BB19" s="62" t="str">
        <f t="shared" si="23"/>
        <v/>
      </c>
      <c r="BC19" s="62" t="str">
        <f t="shared" si="23"/>
        <v/>
      </c>
      <c r="BD19" s="62" t="str">
        <f t="shared" si="23"/>
        <v/>
      </c>
      <c r="BE19" s="62" t="str">
        <f t="shared" si="23"/>
        <v/>
      </c>
      <c r="BF19" s="62" t="str">
        <f t="shared" si="23"/>
        <v/>
      </c>
      <c r="BI19" s="59" t="s">
        <v>18</v>
      </c>
      <c r="BJ19" s="59"/>
      <c r="BK19" s="62" t="e">
        <f t="shared" si="22"/>
        <v>#N/A</v>
      </c>
      <c r="BL19" s="62" t="e">
        <f t="shared" si="22"/>
        <v>#N/A</v>
      </c>
      <c r="BM19" s="62" t="e">
        <f t="shared" si="22"/>
        <v>#N/A</v>
      </c>
      <c r="BN19" s="62" t="e">
        <f t="shared" si="22"/>
        <v>#N/A</v>
      </c>
      <c r="BO19" s="62" t="e">
        <f t="shared" si="22"/>
        <v>#N/A</v>
      </c>
      <c r="BP19" s="62" t="e">
        <f t="shared" si="22"/>
        <v>#N/A</v>
      </c>
      <c r="BQ19" s="62" t="e">
        <f t="shared" si="22"/>
        <v>#N/A</v>
      </c>
      <c r="BR19" s="62" t="e">
        <f t="shared" si="22"/>
        <v>#N/A</v>
      </c>
      <c r="BS19" s="62" t="e">
        <f t="shared" si="22"/>
        <v>#N/A</v>
      </c>
      <c r="BT19" s="62" t="e">
        <f t="shared" si="22"/>
        <v>#N/A</v>
      </c>
      <c r="BU19" s="62" t="e">
        <f t="shared" si="22"/>
        <v>#N/A</v>
      </c>
      <c r="BV19" s="62" t="e">
        <f t="shared" si="22"/>
        <v>#N/A</v>
      </c>
      <c r="BW19" s="62" t="e">
        <f t="shared" si="22"/>
        <v>#N/A</v>
      </c>
      <c r="BX19" s="62" t="e">
        <f t="shared" si="22"/>
        <v>#N/A</v>
      </c>
      <c r="BY19" s="62" t="e">
        <f t="shared" si="22"/>
        <v>#N/A</v>
      </c>
      <c r="ED19" s="77"/>
      <c r="EE19" s="77"/>
      <c r="EF19" s="77"/>
      <c r="EG19" s="77"/>
      <c r="EH19" s="77"/>
      <c r="EI19" s="77"/>
      <c r="EJ19" s="77"/>
      <c r="EK19" s="77"/>
      <c r="EL19" s="77"/>
      <c r="EM19" s="77"/>
    </row>
    <row r="20" spans="1:143" ht="25" customHeight="1" x14ac:dyDescent="0.5">
      <c r="AC20" s="12"/>
      <c r="AH20" s="12"/>
      <c r="AI20" s="12"/>
      <c r="AJ20" s="12"/>
      <c r="AK20" s="12"/>
      <c r="AL20" s="12"/>
      <c r="AM20" s="12"/>
      <c r="AN20" s="12"/>
      <c r="AO20" s="12"/>
      <c r="AP20" s="67" t="s">
        <v>0</v>
      </c>
      <c r="AQ20" s="59"/>
      <c r="AR20" s="62" t="str">
        <f t="shared" ref="AR20:BF20" si="24">IF(AR$16=1,AR11,"")</f>
        <v/>
      </c>
      <c r="AS20" s="62" t="str">
        <f t="shared" si="24"/>
        <v/>
      </c>
      <c r="AT20" s="62" t="str">
        <f t="shared" si="24"/>
        <v/>
      </c>
      <c r="AU20" s="62" t="str">
        <f t="shared" si="24"/>
        <v/>
      </c>
      <c r="AV20" s="62" t="str">
        <f t="shared" si="24"/>
        <v/>
      </c>
      <c r="AW20" s="62" t="str">
        <f t="shared" si="24"/>
        <v/>
      </c>
      <c r="AX20" s="62" t="str">
        <f t="shared" si="24"/>
        <v/>
      </c>
      <c r="AY20" s="62" t="str">
        <f t="shared" si="24"/>
        <v/>
      </c>
      <c r="AZ20" s="62" t="str">
        <f t="shared" si="24"/>
        <v/>
      </c>
      <c r="BA20" s="62" t="str">
        <f t="shared" si="24"/>
        <v/>
      </c>
      <c r="BB20" s="62" t="str">
        <f t="shared" si="24"/>
        <v/>
      </c>
      <c r="BC20" s="62" t="str">
        <f t="shared" si="24"/>
        <v/>
      </c>
      <c r="BD20" s="62" t="str">
        <f t="shared" si="24"/>
        <v/>
      </c>
      <c r="BE20" s="62" t="str">
        <f t="shared" si="24"/>
        <v/>
      </c>
      <c r="BF20" s="62" t="str">
        <f t="shared" si="24"/>
        <v/>
      </c>
      <c r="BI20" s="67" t="s">
        <v>0</v>
      </c>
      <c r="BJ20" s="67"/>
      <c r="BK20" s="62" t="e">
        <f t="shared" si="22"/>
        <v>#N/A</v>
      </c>
      <c r="BL20" s="62" t="e">
        <f t="shared" si="22"/>
        <v>#N/A</v>
      </c>
      <c r="BM20" s="62" t="e">
        <f t="shared" si="22"/>
        <v>#N/A</v>
      </c>
      <c r="BN20" s="62" t="e">
        <f t="shared" si="22"/>
        <v>#N/A</v>
      </c>
      <c r="BO20" s="62" t="e">
        <f t="shared" si="22"/>
        <v>#N/A</v>
      </c>
      <c r="BP20" s="62" t="e">
        <f t="shared" si="22"/>
        <v>#N/A</v>
      </c>
      <c r="BQ20" s="62" t="e">
        <f t="shared" si="22"/>
        <v>#N/A</v>
      </c>
      <c r="BR20" s="62" t="e">
        <f t="shared" si="22"/>
        <v>#N/A</v>
      </c>
      <c r="BS20" s="62" t="e">
        <f t="shared" si="22"/>
        <v>#N/A</v>
      </c>
      <c r="BT20" s="62" t="e">
        <f t="shared" si="22"/>
        <v>#N/A</v>
      </c>
      <c r="BU20" s="62" t="e">
        <f t="shared" si="22"/>
        <v>#N/A</v>
      </c>
      <c r="BV20" s="62" t="e">
        <f t="shared" si="22"/>
        <v>#N/A</v>
      </c>
      <c r="BW20" s="62" t="e">
        <f t="shared" si="22"/>
        <v>#N/A</v>
      </c>
      <c r="BX20" s="62" t="e">
        <f t="shared" si="22"/>
        <v>#N/A</v>
      </c>
      <c r="BY20" s="62" t="e">
        <f t="shared" si="22"/>
        <v>#N/A</v>
      </c>
      <c r="BZ20" s="55"/>
      <c r="CA20" s="52"/>
      <c r="CB20" s="55"/>
      <c r="ED20" s="77"/>
      <c r="EE20" s="77"/>
      <c r="EF20" s="77"/>
      <c r="EG20" s="77"/>
      <c r="EH20" s="77"/>
      <c r="EI20" s="77"/>
      <c r="EJ20" s="77"/>
      <c r="EK20" s="77"/>
      <c r="EL20" s="77"/>
      <c r="EM20" s="77"/>
    </row>
    <row r="21" spans="1:143" ht="25" customHeight="1" x14ac:dyDescent="0.65">
      <c r="F21" s="41"/>
      <c r="G21" s="42">
        <f>AP4</f>
        <v>0.15</v>
      </c>
      <c r="W21" s="35" t="s">
        <v>291</v>
      </c>
      <c r="X21" s="12"/>
      <c r="Y21" s="43"/>
      <c r="Z21" s="43"/>
      <c r="AA21" s="43"/>
      <c r="AB21" s="43"/>
      <c r="AC21" s="12"/>
      <c r="AD21" s="12"/>
      <c r="AH21" s="12"/>
      <c r="AI21" s="12"/>
      <c r="AJ21" s="12"/>
      <c r="AK21" s="12"/>
      <c r="AL21" s="12"/>
      <c r="AM21" s="12"/>
      <c r="AN21" s="12"/>
      <c r="AO21" s="12"/>
      <c r="ED21" s="77"/>
      <c r="EE21" s="77"/>
      <c r="EF21" s="77"/>
      <c r="EG21" s="77"/>
      <c r="EH21" s="77"/>
      <c r="EI21" s="77"/>
      <c r="EJ21" s="77"/>
      <c r="EK21" s="77"/>
      <c r="EL21" s="77"/>
      <c r="EM21" s="77"/>
    </row>
    <row r="22" spans="1:143" ht="25" customHeight="1" x14ac:dyDescent="0.5">
      <c r="G22" s="44" t="str">
        <f>IF(OR(Z64=4,Z64=5),"Linear","")</f>
        <v/>
      </c>
      <c r="Y22" s="12"/>
      <c r="Z22" s="12"/>
      <c r="AA22" s="12"/>
      <c r="AB22" s="12"/>
      <c r="AC22" s="12"/>
      <c r="AD22" s="12"/>
      <c r="AH22" s="12"/>
      <c r="AI22" s="12"/>
      <c r="AJ22" s="12"/>
      <c r="AK22" s="12"/>
      <c r="AL22" s="12"/>
      <c r="AM22" s="12"/>
      <c r="AN22" s="12"/>
      <c r="AO22" s="12"/>
      <c r="AP22" s="79" t="s">
        <v>36</v>
      </c>
      <c r="AQ22" s="66" t="s">
        <v>37</v>
      </c>
      <c r="AR22" s="66" t="e">
        <f>SLOPE(AR18:BF18,AR19:BF19)</f>
        <v>#DIV/0!</v>
      </c>
      <c r="AS22" s="75"/>
      <c r="AT22" s="75"/>
      <c r="AU22" s="75"/>
      <c r="AV22" s="75"/>
      <c r="ED22" s="77"/>
      <c r="EE22" s="77"/>
      <c r="EF22" s="77"/>
      <c r="EG22" s="77"/>
      <c r="EH22" s="77"/>
      <c r="EI22" s="77"/>
      <c r="EJ22" s="77"/>
      <c r="EK22" s="77"/>
      <c r="EL22" s="77"/>
      <c r="EM22" s="77"/>
    </row>
    <row r="23" spans="1:143" ht="25" customHeight="1" x14ac:dyDescent="0.5">
      <c r="G23" s="45" t="e">
        <f>W64</f>
        <v>#DIV/0!</v>
      </c>
      <c r="T23" s="46"/>
      <c r="U23" s="46"/>
      <c r="V23" s="46"/>
      <c r="W23" s="136" t="s">
        <v>245</v>
      </c>
      <c r="X23" s="136"/>
      <c r="Y23" s="47"/>
      <c r="Z23" s="47"/>
      <c r="AA23" s="155"/>
      <c r="AB23" s="47"/>
      <c r="AC23" s="47"/>
      <c r="AD23" s="47"/>
      <c r="AH23" s="12"/>
      <c r="AI23" s="12"/>
      <c r="AJ23" s="12"/>
      <c r="AK23" s="12"/>
      <c r="AL23" s="12"/>
      <c r="AM23" s="12"/>
      <c r="AN23" s="12"/>
      <c r="AO23" s="12"/>
      <c r="AP23" s="59"/>
      <c r="AQ23" s="66" t="s">
        <v>38</v>
      </c>
      <c r="AR23" s="66" t="e">
        <f>INTERCEPT(AR18:BF18,AR19:BF19)</f>
        <v>#DIV/0!</v>
      </c>
      <c r="AS23" s="75"/>
      <c r="AT23" s="75"/>
      <c r="AU23" s="75"/>
      <c r="AV23" s="75"/>
      <c r="ED23" s="77"/>
      <c r="EE23" s="77"/>
      <c r="EF23" s="77"/>
      <c r="EG23" s="77"/>
      <c r="EH23" s="77"/>
      <c r="EI23" s="77"/>
      <c r="EJ23" s="77"/>
      <c r="EK23" s="77"/>
      <c r="EL23" s="77"/>
      <c r="EM23" s="77"/>
    </row>
    <row r="24" spans="1:143" ht="25" customHeight="1" x14ac:dyDescent="0.5">
      <c r="F24" s="48"/>
      <c r="G24" s="45">
        <f>W66</f>
        <v>0</v>
      </c>
      <c r="T24" s="46"/>
      <c r="U24" s="46"/>
      <c r="V24" s="46"/>
      <c r="Y24" s="47"/>
      <c r="Z24" s="47"/>
      <c r="AA24" s="155"/>
      <c r="AB24" s="47"/>
      <c r="AC24" s="47"/>
      <c r="AD24" s="47"/>
      <c r="AH24" s="12"/>
      <c r="AI24" s="12"/>
      <c r="AJ24" s="12"/>
      <c r="AK24" s="12"/>
      <c r="AL24" s="12"/>
      <c r="AM24" s="12"/>
      <c r="AN24" s="12"/>
      <c r="AO24" s="12"/>
      <c r="AP24" s="59"/>
      <c r="AQ24" s="66" t="s">
        <v>39</v>
      </c>
      <c r="AR24" s="66" t="e">
        <f>RSQ(AR39:BF39,AR40:BF40)</f>
        <v>#DIV/0!</v>
      </c>
      <c r="AS24" s="66" t="s">
        <v>85</v>
      </c>
      <c r="AT24" s="66" t="e">
        <f>STEYX(AR39:BF39,AR40:BF40)</f>
        <v>#DIV/0!</v>
      </c>
      <c r="AU24" s="66" t="s">
        <v>80</v>
      </c>
      <c r="AV24" s="66">
        <f>SQRT(SUM(AR41:BF41)/(COUNT(AR41:BF41)-2))</f>
        <v>0</v>
      </c>
      <c r="DZ24" s="55"/>
      <c r="ED24" s="77"/>
      <c r="EE24" s="77"/>
      <c r="EF24" s="77"/>
      <c r="EG24" s="77"/>
      <c r="EH24" s="77"/>
      <c r="EI24" s="77"/>
      <c r="EJ24" s="77"/>
      <c r="EK24" s="77"/>
      <c r="EL24" s="77"/>
      <c r="EM24" s="77"/>
    </row>
    <row r="25" spans="1:143" ht="25" customHeight="1" x14ac:dyDescent="0.5">
      <c r="W25" s="145" t="s">
        <v>256</v>
      </c>
      <c r="X25" s="146"/>
      <c r="Y25" s="145" t="s">
        <v>294</v>
      </c>
      <c r="Z25" s="146"/>
      <c r="AA25" s="145" t="s">
        <v>290</v>
      </c>
      <c r="AB25" s="146"/>
      <c r="AH25" s="12"/>
      <c r="AI25" s="12"/>
      <c r="AJ25" s="12"/>
      <c r="AK25" s="12"/>
      <c r="AL25" s="12"/>
      <c r="AM25" s="12"/>
      <c r="AN25" s="12"/>
      <c r="AO25" s="12"/>
      <c r="AP25" s="53" t="s">
        <v>48</v>
      </c>
      <c r="BI25" s="53" t="s">
        <v>48</v>
      </c>
      <c r="ED25" s="77"/>
      <c r="EE25" s="77"/>
      <c r="EF25" s="77"/>
      <c r="EG25" s="77"/>
      <c r="EH25" s="77"/>
      <c r="EI25" s="77"/>
      <c r="EJ25" s="77"/>
      <c r="EK25" s="77"/>
      <c r="EL25" s="77"/>
      <c r="EM25" s="77"/>
    </row>
    <row r="26" spans="1:143" ht="25" customHeight="1" x14ac:dyDescent="0.5">
      <c r="S26" s="12"/>
      <c r="T26" s="12"/>
      <c r="U26" s="12"/>
      <c r="V26" s="12"/>
      <c r="W26" s="137" t="e">
        <f>AG81</f>
        <v>#DIV/0!</v>
      </c>
      <c r="X26" s="138"/>
      <c r="Y26" s="141" t="e">
        <f>AH81</f>
        <v>#DIV/0!</v>
      </c>
      <c r="Z26" s="142"/>
      <c r="AA26" s="141" t="str">
        <f>AI81</f>
        <v>-</v>
      </c>
      <c r="AB26" s="142"/>
      <c r="AC26" s="12"/>
      <c r="AD26" s="12"/>
      <c r="AE26" s="12"/>
      <c r="AH26" s="12"/>
      <c r="AI26" s="12"/>
      <c r="AJ26" s="12"/>
      <c r="AK26" s="12"/>
      <c r="AL26" s="12"/>
      <c r="AM26" s="12"/>
      <c r="AN26" s="12"/>
      <c r="AO26" s="12"/>
      <c r="AP26" s="67" t="s">
        <v>20</v>
      </c>
      <c r="AQ26" s="67"/>
      <c r="AR26" s="62" t="str">
        <f t="shared" ref="AR26:BF26" si="25">IF(AR9="","",((AR9-$AR$23)/$AR$22))</f>
        <v/>
      </c>
      <c r="AS26" s="62" t="str">
        <f t="shared" si="25"/>
        <v/>
      </c>
      <c r="AT26" s="62" t="str">
        <f t="shared" si="25"/>
        <v/>
      </c>
      <c r="AU26" s="62" t="str">
        <f t="shared" si="25"/>
        <v/>
      </c>
      <c r="AV26" s="62" t="str">
        <f t="shared" si="25"/>
        <v/>
      </c>
      <c r="AW26" s="62" t="str">
        <f t="shared" si="25"/>
        <v/>
      </c>
      <c r="AX26" s="62" t="str">
        <f t="shared" si="25"/>
        <v/>
      </c>
      <c r="AY26" s="62" t="str">
        <f t="shared" si="25"/>
        <v/>
      </c>
      <c r="AZ26" s="62" t="str">
        <f t="shared" si="25"/>
        <v/>
      </c>
      <c r="BA26" s="62" t="str">
        <f t="shared" si="25"/>
        <v/>
      </c>
      <c r="BB26" s="62" t="str">
        <f t="shared" si="25"/>
        <v/>
      </c>
      <c r="BC26" s="62" t="str">
        <f t="shared" si="25"/>
        <v/>
      </c>
      <c r="BD26" s="62" t="str">
        <f t="shared" si="25"/>
        <v/>
      </c>
      <c r="BE26" s="62" t="str">
        <f>IF(BE9="","",((BE9-$AR$23)/$AR$22))</f>
        <v/>
      </c>
      <c r="BF26" s="62" t="str">
        <f t="shared" si="25"/>
        <v/>
      </c>
      <c r="BI26" s="59" t="s">
        <v>20</v>
      </c>
      <c r="BJ26" s="59"/>
      <c r="BK26" s="62" t="e">
        <f t="shared" ref="BK26:BY26" si="26">IF(AR9="",NA(),((AR9-$AR$23)/$AR$22))</f>
        <v>#N/A</v>
      </c>
      <c r="BL26" s="62" t="e">
        <f t="shared" si="26"/>
        <v>#N/A</v>
      </c>
      <c r="BM26" s="62" t="e">
        <f t="shared" si="26"/>
        <v>#N/A</v>
      </c>
      <c r="BN26" s="62" t="e">
        <f t="shared" si="26"/>
        <v>#N/A</v>
      </c>
      <c r="BO26" s="62" t="e">
        <f t="shared" si="26"/>
        <v>#N/A</v>
      </c>
      <c r="BP26" s="62" t="e">
        <f t="shared" si="26"/>
        <v>#N/A</v>
      </c>
      <c r="BQ26" s="62" t="e">
        <f t="shared" si="26"/>
        <v>#N/A</v>
      </c>
      <c r="BR26" s="62" t="e">
        <f t="shared" si="26"/>
        <v>#N/A</v>
      </c>
      <c r="BS26" s="62" t="e">
        <f t="shared" si="26"/>
        <v>#N/A</v>
      </c>
      <c r="BT26" s="62" t="e">
        <f t="shared" si="26"/>
        <v>#N/A</v>
      </c>
      <c r="BU26" s="62" t="e">
        <f t="shared" si="26"/>
        <v>#N/A</v>
      </c>
      <c r="BV26" s="62" t="e">
        <f t="shared" si="26"/>
        <v>#N/A</v>
      </c>
      <c r="BW26" s="62" t="e">
        <f t="shared" si="26"/>
        <v>#N/A</v>
      </c>
      <c r="BX26" s="62" t="e">
        <f t="shared" si="26"/>
        <v>#N/A</v>
      </c>
      <c r="BY26" s="62" t="e">
        <f t="shared" si="26"/>
        <v>#N/A</v>
      </c>
      <c r="ED26" s="77"/>
      <c r="EE26" s="77"/>
      <c r="EF26" s="77"/>
      <c r="EG26" s="77"/>
      <c r="EH26" s="77"/>
      <c r="EI26" s="77"/>
      <c r="EJ26" s="77"/>
      <c r="EK26" s="77"/>
      <c r="EL26" s="77"/>
      <c r="EM26" s="77"/>
    </row>
    <row r="27" spans="1:143" ht="25" customHeight="1" x14ac:dyDescent="0.5">
      <c r="W27" s="139"/>
      <c r="X27" s="140"/>
      <c r="Y27" s="143"/>
      <c r="Z27" s="144"/>
      <c r="AA27" s="143"/>
      <c r="AB27" s="144"/>
      <c r="AH27" s="12"/>
      <c r="AI27" s="12"/>
      <c r="AJ27" s="12"/>
      <c r="AK27" s="12"/>
      <c r="AL27" s="12"/>
      <c r="AM27" s="12"/>
      <c r="AN27" s="12"/>
      <c r="AO27" s="12"/>
      <c r="AP27" s="59" t="s">
        <v>40</v>
      </c>
      <c r="AQ27" s="59"/>
      <c r="AR27" s="62" t="str">
        <f t="shared" ref="AR27:BF27" si="27">IF(AR9="","",AR26-$AP$4)</f>
        <v/>
      </c>
      <c r="AS27" s="62" t="str">
        <f t="shared" si="27"/>
        <v/>
      </c>
      <c r="AT27" s="62" t="str">
        <f t="shared" si="27"/>
        <v/>
      </c>
      <c r="AU27" s="62" t="str">
        <f t="shared" si="27"/>
        <v/>
      </c>
      <c r="AV27" s="62" t="str">
        <f t="shared" si="27"/>
        <v/>
      </c>
      <c r="AW27" s="62" t="str">
        <f t="shared" si="27"/>
        <v/>
      </c>
      <c r="AX27" s="62" t="str">
        <f t="shared" si="27"/>
        <v/>
      </c>
      <c r="AY27" s="62" t="str">
        <f t="shared" si="27"/>
        <v/>
      </c>
      <c r="AZ27" s="62" t="str">
        <f t="shared" si="27"/>
        <v/>
      </c>
      <c r="BA27" s="62" t="str">
        <f t="shared" si="27"/>
        <v/>
      </c>
      <c r="BB27" s="62" t="str">
        <f t="shared" si="27"/>
        <v/>
      </c>
      <c r="BC27" s="62" t="str">
        <f t="shared" si="27"/>
        <v/>
      </c>
      <c r="BD27" s="62" t="str">
        <f t="shared" si="27"/>
        <v/>
      </c>
      <c r="BE27" s="62" t="str">
        <f t="shared" si="27"/>
        <v/>
      </c>
      <c r="BF27" s="62" t="str">
        <f t="shared" si="27"/>
        <v/>
      </c>
      <c r="BI27" s="59" t="s">
        <v>40</v>
      </c>
      <c r="BJ27" s="59"/>
      <c r="BK27" s="62" t="e">
        <f t="shared" ref="BK27:BY27" si="28">IF(AR9="",NA(),AR26-$AP$4)</f>
        <v>#N/A</v>
      </c>
      <c r="BL27" s="62" t="e">
        <f t="shared" si="28"/>
        <v>#N/A</v>
      </c>
      <c r="BM27" s="62" t="e">
        <f t="shared" si="28"/>
        <v>#N/A</v>
      </c>
      <c r="BN27" s="62" t="e">
        <f t="shared" si="28"/>
        <v>#N/A</v>
      </c>
      <c r="BO27" s="62" t="e">
        <f t="shared" si="28"/>
        <v>#N/A</v>
      </c>
      <c r="BP27" s="62" t="e">
        <f t="shared" si="28"/>
        <v>#N/A</v>
      </c>
      <c r="BQ27" s="62" t="e">
        <f t="shared" si="28"/>
        <v>#N/A</v>
      </c>
      <c r="BR27" s="62" t="e">
        <f t="shared" si="28"/>
        <v>#N/A</v>
      </c>
      <c r="BS27" s="62" t="e">
        <f t="shared" si="28"/>
        <v>#N/A</v>
      </c>
      <c r="BT27" s="62" t="e">
        <f t="shared" si="28"/>
        <v>#N/A</v>
      </c>
      <c r="BU27" s="62" t="e">
        <f t="shared" si="28"/>
        <v>#N/A</v>
      </c>
      <c r="BV27" s="62" t="e">
        <f t="shared" si="28"/>
        <v>#N/A</v>
      </c>
      <c r="BW27" s="62" t="e">
        <f t="shared" si="28"/>
        <v>#N/A</v>
      </c>
      <c r="BX27" s="62" t="e">
        <f t="shared" si="28"/>
        <v>#N/A</v>
      </c>
      <c r="BY27" s="62" t="e">
        <f t="shared" si="28"/>
        <v>#N/A</v>
      </c>
      <c r="ED27" s="77"/>
      <c r="EE27" s="77"/>
      <c r="EF27" s="77"/>
      <c r="EG27" s="77"/>
      <c r="EH27" s="77"/>
      <c r="EI27" s="77"/>
      <c r="EJ27" s="77"/>
      <c r="EK27" s="77"/>
      <c r="EL27" s="77"/>
      <c r="EM27" s="77"/>
    </row>
    <row r="28" spans="1:143" ht="25" customHeight="1" x14ac:dyDescent="0.5">
      <c r="T28" s="49"/>
      <c r="U28" s="49"/>
      <c r="AA28" s="147"/>
      <c r="AB28" s="147"/>
      <c r="AH28" s="12"/>
      <c r="AI28" s="12"/>
      <c r="AJ28" s="12"/>
      <c r="AK28" s="12"/>
      <c r="AL28" s="12"/>
      <c r="AM28" s="12"/>
      <c r="AN28" s="12"/>
      <c r="AO28" s="12"/>
      <c r="AP28" s="59" t="s">
        <v>41</v>
      </c>
      <c r="AQ28" s="59"/>
      <c r="AR28" s="62" t="str">
        <f t="shared" ref="AR28:BF28" si="29">IF(AR9="","",AR26+$AP$4)</f>
        <v/>
      </c>
      <c r="AS28" s="62" t="str">
        <f t="shared" si="29"/>
        <v/>
      </c>
      <c r="AT28" s="62" t="str">
        <f t="shared" si="29"/>
        <v/>
      </c>
      <c r="AU28" s="62" t="str">
        <f t="shared" si="29"/>
        <v/>
      </c>
      <c r="AV28" s="62" t="str">
        <f t="shared" si="29"/>
        <v/>
      </c>
      <c r="AW28" s="62" t="str">
        <f t="shared" si="29"/>
        <v/>
      </c>
      <c r="AX28" s="62" t="str">
        <f t="shared" si="29"/>
        <v/>
      </c>
      <c r="AY28" s="62" t="str">
        <f t="shared" si="29"/>
        <v/>
      </c>
      <c r="AZ28" s="62" t="str">
        <f t="shared" si="29"/>
        <v/>
      </c>
      <c r="BA28" s="62" t="str">
        <f t="shared" si="29"/>
        <v/>
      </c>
      <c r="BB28" s="62" t="str">
        <f t="shared" si="29"/>
        <v/>
      </c>
      <c r="BC28" s="62" t="str">
        <f t="shared" si="29"/>
        <v/>
      </c>
      <c r="BD28" s="62" t="str">
        <f t="shared" si="29"/>
        <v/>
      </c>
      <c r="BE28" s="62" t="str">
        <f t="shared" si="29"/>
        <v/>
      </c>
      <c r="BF28" s="62" t="str">
        <f t="shared" si="29"/>
        <v/>
      </c>
      <c r="BI28" s="59" t="s">
        <v>41</v>
      </c>
      <c r="BJ28" s="59"/>
      <c r="BK28" s="62" t="e">
        <f t="shared" ref="BK28:BY28" si="30">IF(AR9="",NA(),AR26+$AP$4)</f>
        <v>#N/A</v>
      </c>
      <c r="BL28" s="62" t="e">
        <f t="shared" si="30"/>
        <v>#N/A</v>
      </c>
      <c r="BM28" s="62" t="e">
        <f t="shared" si="30"/>
        <v>#N/A</v>
      </c>
      <c r="BN28" s="62" t="e">
        <f t="shared" si="30"/>
        <v>#N/A</v>
      </c>
      <c r="BO28" s="62" t="e">
        <f t="shared" si="30"/>
        <v>#N/A</v>
      </c>
      <c r="BP28" s="62" t="e">
        <f t="shared" si="30"/>
        <v>#N/A</v>
      </c>
      <c r="BQ28" s="62" t="e">
        <f t="shared" si="30"/>
        <v>#N/A</v>
      </c>
      <c r="BR28" s="62" t="e">
        <f t="shared" si="30"/>
        <v>#N/A</v>
      </c>
      <c r="BS28" s="62" t="e">
        <f t="shared" si="30"/>
        <v>#N/A</v>
      </c>
      <c r="BT28" s="62" t="e">
        <f t="shared" si="30"/>
        <v>#N/A</v>
      </c>
      <c r="BU28" s="62" t="e">
        <f t="shared" si="30"/>
        <v>#N/A</v>
      </c>
      <c r="BV28" s="62" t="e">
        <f t="shared" si="30"/>
        <v>#N/A</v>
      </c>
      <c r="BW28" s="62" t="e">
        <f t="shared" si="30"/>
        <v>#N/A</v>
      </c>
      <c r="BX28" s="62" t="e">
        <f t="shared" si="30"/>
        <v>#N/A</v>
      </c>
      <c r="BY28" s="62" t="e">
        <f t="shared" si="30"/>
        <v>#N/A</v>
      </c>
      <c r="ED28" s="77"/>
      <c r="EE28" s="77"/>
      <c r="EF28" s="77"/>
      <c r="EG28" s="77"/>
      <c r="EH28" s="77"/>
      <c r="EI28" s="77"/>
      <c r="EJ28" s="77"/>
      <c r="EK28" s="77"/>
      <c r="EL28" s="77"/>
      <c r="EM28" s="77"/>
    </row>
    <row r="29" spans="1:143" ht="25" customHeight="1" x14ac:dyDescent="0.5">
      <c r="T29" s="49"/>
      <c r="U29" s="49"/>
      <c r="AA29" s="148"/>
      <c r="AB29" s="148"/>
      <c r="AH29" s="12"/>
      <c r="AI29" s="12"/>
      <c r="AJ29" s="12"/>
      <c r="AK29" s="12"/>
      <c r="AL29" s="12"/>
      <c r="AM29" s="12"/>
      <c r="AN29" s="12"/>
      <c r="AO29" s="12"/>
      <c r="ED29" s="77"/>
      <c r="EE29" s="77"/>
      <c r="EF29" s="77"/>
      <c r="EG29" s="77"/>
      <c r="EH29" s="77"/>
      <c r="EI29" s="77"/>
      <c r="EJ29" s="77"/>
      <c r="EK29" s="77"/>
      <c r="EL29" s="77"/>
      <c r="EM29" s="77"/>
    </row>
    <row r="30" spans="1:143" ht="25" customHeight="1" x14ac:dyDescent="0.5">
      <c r="AH30" s="12"/>
      <c r="AI30" s="12"/>
      <c r="AJ30" s="12"/>
      <c r="AK30" s="12"/>
      <c r="AL30" s="12"/>
      <c r="AM30" s="12"/>
      <c r="AN30" s="12"/>
      <c r="AO30" s="12"/>
      <c r="AP30" s="67" t="s">
        <v>42</v>
      </c>
      <c r="AQ30" s="59"/>
      <c r="AR30" s="62" t="str">
        <f>IF(AR26="","",AR26*AR9)</f>
        <v/>
      </c>
      <c r="AS30" s="62" t="str">
        <f>IF(AS26="","",AS26*AS9)</f>
        <v/>
      </c>
      <c r="AT30" s="62" t="str">
        <f t="shared" ref="AT30:BF30" si="31">IF(AT26="","",AT26*AT9)</f>
        <v/>
      </c>
      <c r="AU30" s="62" t="str">
        <f t="shared" si="31"/>
        <v/>
      </c>
      <c r="AV30" s="62" t="str">
        <f t="shared" si="31"/>
        <v/>
      </c>
      <c r="AW30" s="62" t="str">
        <f t="shared" si="31"/>
        <v/>
      </c>
      <c r="AX30" s="62" t="str">
        <f t="shared" si="31"/>
        <v/>
      </c>
      <c r="AY30" s="62" t="str">
        <f t="shared" si="31"/>
        <v/>
      </c>
      <c r="AZ30" s="62" t="str">
        <f t="shared" si="31"/>
        <v/>
      </c>
      <c r="BA30" s="62" t="str">
        <f t="shared" si="31"/>
        <v/>
      </c>
      <c r="BB30" s="62" t="str">
        <f t="shared" si="31"/>
        <v/>
      </c>
      <c r="BC30" s="62" t="str">
        <f t="shared" si="31"/>
        <v/>
      </c>
      <c r="BD30" s="62" t="str">
        <f t="shared" si="31"/>
        <v/>
      </c>
      <c r="BE30" s="62" t="str">
        <f t="shared" si="31"/>
        <v/>
      </c>
      <c r="BF30" s="62" t="str">
        <f t="shared" si="31"/>
        <v/>
      </c>
      <c r="BI30" s="67" t="s">
        <v>42</v>
      </c>
      <c r="BJ30" s="59"/>
      <c r="BK30" s="62" t="e">
        <f t="shared" ref="BK30:BY30" si="32">IF(AR26="",NA(),AR26*AR9)</f>
        <v>#N/A</v>
      </c>
      <c r="BL30" s="62" t="e">
        <f t="shared" si="32"/>
        <v>#N/A</v>
      </c>
      <c r="BM30" s="62" t="e">
        <f t="shared" si="32"/>
        <v>#N/A</v>
      </c>
      <c r="BN30" s="62" t="e">
        <f t="shared" si="32"/>
        <v>#N/A</v>
      </c>
      <c r="BO30" s="62" t="e">
        <f t="shared" si="32"/>
        <v>#N/A</v>
      </c>
      <c r="BP30" s="62" t="e">
        <f t="shared" si="32"/>
        <v>#N/A</v>
      </c>
      <c r="BQ30" s="62" t="e">
        <f t="shared" si="32"/>
        <v>#N/A</v>
      </c>
      <c r="BR30" s="62" t="e">
        <f t="shared" si="32"/>
        <v>#N/A</v>
      </c>
      <c r="BS30" s="62" t="e">
        <f t="shared" si="32"/>
        <v>#N/A</v>
      </c>
      <c r="BT30" s="62" t="e">
        <f t="shared" si="32"/>
        <v>#N/A</v>
      </c>
      <c r="BU30" s="62" t="e">
        <f t="shared" si="32"/>
        <v>#N/A</v>
      </c>
      <c r="BV30" s="62" t="e">
        <f t="shared" si="32"/>
        <v>#N/A</v>
      </c>
      <c r="BW30" s="62" t="e">
        <f t="shared" si="32"/>
        <v>#N/A</v>
      </c>
      <c r="BX30" s="62" t="e">
        <f>IF(BE26="",NA(),BE26*BE9)</f>
        <v>#N/A</v>
      </c>
      <c r="BY30" s="62" t="e">
        <f t="shared" si="32"/>
        <v>#N/A</v>
      </c>
      <c r="ED30" s="77"/>
      <c r="EE30" s="77"/>
      <c r="EF30" s="77"/>
      <c r="EG30" s="77"/>
      <c r="EH30" s="77"/>
      <c r="EI30" s="77"/>
      <c r="EJ30" s="77"/>
      <c r="EK30" s="77"/>
      <c r="EL30" s="77"/>
      <c r="EM30" s="77"/>
    </row>
    <row r="31" spans="1:143" ht="25" customHeight="1" x14ac:dyDescent="0.5">
      <c r="AH31" s="12"/>
      <c r="AI31" s="12"/>
      <c r="AJ31" s="12"/>
      <c r="AK31" s="12"/>
      <c r="AL31" s="12"/>
      <c r="AM31" s="12"/>
      <c r="AN31" s="12"/>
      <c r="AO31" s="12"/>
      <c r="AP31" s="59" t="s">
        <v>45</v>
      </c>
      <c r="AQ31" s="59"/>
      <c r="AR31" s="62" t="str">
        <f t="shared" ref="AR31:BF31" si="33">IF(AR27="","",AR27*AR9)</f>
        <v/>
      </c>
      <c r="AS31" s="62" t="str">
        <f t="shared" si="33"/>
        <v/>
      </c>
      <c r="AT31" s="62" t="str">
        <f t="shared" si="33"/>
        <v/>
      </c>
      <c r="AU31" s="62" t="str">
        <f t="shared" si="33"/>
        <v/>
      </c>
      <c r="AV31" s="62" t="str">
        <f t="shared" si="33"/>
        <v/>
      </c>
      <c r="AW31" s="62" t="str">
        <f t="shared" si="33"/>
        <v/>
      </c>
      <c r="AX31" s="62" t="str">
        <f t="shared" si="33"/>
        <v/>
      </c>
      <c r="AY31" s="62" t="str">
        <f t="shared" si="33"/>
        <v/>
      </c>
      <c r="AZ31" s="62" t="str">
        <f t="shared" si="33"/>
        <v/>
      </c>
      <c r="BA31" s="62" t="str">
        <f t="shared" si="33"/>
        <v/>
      </c>
      <c r="BB31" s="62" t="str">
        <f t="shared" si="33"/>
        <v/>
      </c>
      <c r="BC31" s="62" t="str">
        <f t="shared" si="33"/>
        <v/>
      </c>
      <c r="BD31" s="62" t="str">
        <f t="shared" si="33"/>
        <v/>
      </c>
      <c r="BE31" s="62" t="str">
        <f t="shared" si="33"/>
        <v/>
      </c>
      <c r="BF31" s="62" t="str">
        <f t="shared" si="33"/>
        <v/>
      </c>
      <c r="BI31" s="59" t="s">
        <v>45</v>
      </c>
      <c r="BJ31" s="59"/>
      <c r="BK31" s="62" t="e">
        <f t="shared" ref="BK31:BY31" si="34">IF(AR27="",NA(),AR27*AR9)</f>
        <v>#N/A</v>
      </c>
      <c r="BL31" s="62" t="e">
        <f t="shared" si="34"/>
        <v>#N/A</v>
      </c>
      <c r="BM31" s="62" t="e">
        <f t="shared" si="34"/>
        <v>#N/A</v>
      </c>
      <c r="BN31" s="62" t="e">
        <f t="shared" si="34"/>
        <v>#N/A</v>
      </c>
      <c r="BO31" s="62" t="e">
        <f t="shared" si="34"/>
        <v>#N/A</v>
      </c>
      <c r="BP31" s="62" t="e">
        <f t="shared" si="34"/>
        <v>#N/A</v>
      </c>
      <c r="BQ31" s="62" t="e">
        <f t="shared" si="34"/>
        <v>#N/A</v>
      </c>
      <c r="BR31" s="62" t="e">
        <f t="shared" si="34"/>
        <v>#N/A</v>
      </c>
      <c r="BS31" s="62" t="e">
        <f t="shared" si="34"/>
        <v>#N/A</v>
      </c>
      <c r="BT31" s="62" t="e">
        <f t="shared" si="34"/>
        <v>#N/A</v>
      </c>
      <c r="BU31" s="62" t="e">
        <f t="shared" si="34"/>
        <v>#N/A</v>
      </c>
      <c r="BV31" s="62" t="e">
        <f t="shared" si="34"/>
        <v>#N/A</v>
      </c>
      <c r="BW31" s="62" t="e">
        <f t="shared" si="34"/>
        <v>#N/A</v>
      </c>
      <c r="BX31" s="62" t="e">
        <f t="shared" si="34"/>
        <v>#N/A</v>
      </c>
      <c r="BY31" s="62" t="e">
        <f t="shared" si="34"/>
        <v>#N/A</v>
      </c>
      <c r="ED31" s="77"/>
      <c r="EE31" s="77"/>
      <c r="EF31" s="77"/>
      <c r="EG31" s="77"/>
      <c r="EH31" s="77"/>
      <c r="EI31" s="77"/>
      <c r="EJ31" s="77"/>
      <c r="EK31" s="77"/>
      <c r="EL31" s="77"/>
      <c r="EM31" s="77"/>
    </row>
    <row r="32" spans="1:143" ht="25" customHeight="1" x14ac:dyDescent="0.5">
      <c r="AH32" s="12"/>
      <c r="AI32" s="12"/>
      <c r="AJ32" s="12"/>
      <c r="AK32" s="12"/>
      <c r="AL32" s="12"/>
      <c r="AM32" s="12"/>
      <c r="AN32" s="12"/>
      <c r="AO32" s="12"/>
      <c r="AP32" s="59" t="s">
        <v>46</v>
      </c>
      <c r="AQ32" s="59"/>
      <c r="AR32" s="62" t="str">
        <f t="shared" ref="AR32:BF32" si="35">IF(AR28="","",AR28*AR9)</f>
        <v/>
      </c>
      <c r="AS32" s="62" t="str">
        <f t="shared" si="35"/>
        <v/>
      </c>
      <c r="AT32" s="62" t="str">
        <f t="shared" si="35"/>
        <v/>
      </c>
      <c r="AU32" s="62" t="str">
        <f t="shared" si="35"/>
        <v/>
      </c>
      <c r="AV32" s="62" t="str">
        <f t="shared" si="35"/>
        <v/>
      </c>
      <c r="AW32" s="62" t="str">
        <f t="shared" si="35"/>
        <v/>
      </c>
      <c r="AX32" s="62" t="str">
        <f t="shared" si="35"/>
        <v/>
      </c>
      <c r="AY32" s="62" t="str">
        <f t="shared" si="35"/>
        <v/>
      </c>
      <c r="AZ32" s="62" t="str">
        <f t="shared" si="35"/>
        <v/>
      </c>
      <c r="BA32" s="62" t="str">
        <f t="shared" si="35"/>
        <v/>
      </c>
      <c r="BB32" s="62" t="str">
        <f t="shared" si="35"/>
        <v/>
      </c>
      <c r="BC32" s="62" t="str">
        <f t="shared" si="35"/>
        <v/>
      </c>
      <c r="BD32" s="62" t="str">
        <f t="shared" si="35"/>
        <v/>
      </c>
      <c r="BE32" s="62" t="str">
        <f t="shared" si="35"/>
        <v/>
      </c>
      <c r="BF32" s="62" t="str">
        <f t="shared" si="35"/>
        <v/>
      </c>
      <c r="BI32" s="59" t="s">
        <v>46</v>
      </c>
      <c r="BJ32" s="59"/>
      <c r="BK32" s="62" t="e">
        <f t="shared" ref="BK32:BY32" si="36">IF(AR28="",NA(),AR28*AR9)</f>
        <v>#N/A</v>
      </c>
      <c r="BL32" s="62" t="e">
        <f t="shared" si="36"/>
        <v>#N/A</v>
      </c>
      <c r="BM32" s="62" t="e">
        <f t="shared" si="36"/>
        <v>#N/A</v>
      </c>
      <c r="BN32" s="62" t="e">
        <f t="shared" si="36"/>
        <v>#N/A</v>
      </c>
      <c r="BO32" s="62" t="e">
        <f t="shared" si="36"/>
        <v>#N/A</v>
      </c>
      <c r="BP32" s="62" t="e">
        <f t="shared" si="36"/>
        <v>#N/A</v>
      </c>
      <c r="BQ32" s="62" t="e">
        <f t="shared" si="36"/>
        <v>#N/A</v>
      </c>
      <c r="BR32" s="62" t="e">
        <f t="shared" si="36"/>
        <v>#N/A</v>
      </c>
      <c r="BS32" s="62" t="e">
        <f t="shared" si="36"/>
        <v>#N/A</v>
      </c>
      <c r="BT32" s="62" t="e">
        <f t="shared" si="36"/>
        <v>#N/A</v>
      </c>
      <c r="BU32" s="62" t="e">
        <f t="shared" si="36"/>
        <v>#N/A</v>
      </c>
      <c r="BV32" s="62" t="e">
        <f t="shared" si="36"/>
        <v>#N/A</v>
      </c>
      <c r="BW32" s="62" t="e">
        <f t="shared" si="36"/>
        <v>#N/A</v>
      </c>
      <c r="BX32" s="62" t="e">
        <f t="shared" si="36"/>
        <v>#N/A</v>
      </c>
      <c r="BY32" s="62" t="e">
        <f t="shared" si="36"/>
        <v>#N/A</v>
      </c>
      <c r="ED32" s="77"/>
      <c r="EE32" s="77"/>
      <c r="EF32" s="77"/>
      <c r="EG32" s="77"/>
      <c r="EH32" s="77"/>
      <c r="EI32" s="77"/>
      <c r="EJ32" s="77"/>
      <c r="EK32" s="77"/>
      <c r="EL32" s="77"/>
      <c r="EM32" s="77"/>
    </row>
    <row r="33" spans="1:77" ht="25" customHeight="1" x14ac:dyDescent="0.5">
      <c r="AH33" s="12"/>
      <c r="AI33" s="12"/>
      <c r="AJ33" s="12"/>
      <c r="AK33" s="12"/>
      <c r="AL33" s="12"/>
      <c r="AM33" s="12"/>
      <c r="AN33" s="12"/>
      <c r="AO33" s="12"/>
      <c r="AP33" s="53" t="s">
        <v>49</v>
      </c>
      <c r="BI33" s="53" t="s">
        <v>49</v>
      </c>
    </row>
    <row r="34" spans="1:77" x14ac:dyDescent="0.5">
      <c r="B34" s="56" t="s">
        <v>118</v>
      </c>
      <c r="D34" s="80" t="s">
        <v>22</v>
      </c>
      <c r="E34" s="80" t="s">
        <v>189</v>
      </c>
      <c r="F34" s="80"/>
      <c r="G34" s="80"/>
      <c r="H34" s="80"/>
      <c r="I34" s="80"/>
      <c r="J34" s="80"/>
      <c r="K34" s="80"/>
      <c r="L34" s="80"/>
      <c r="M34" s="80"/>
      <c r="N34" s="80"/>
      <c r="O34" s="80"/>
      <c r="P34" s="80"/>
      <c r="Q34" s="80"/>
      <c r="R34" s="80" t="s">
        <v>190</v>
      </c>
      <c r="V34" s="80" t="s">
        <v>22</v>
      </c>
      <c r="W34" s="80" t="s">
        <v>189</v>
      </c>
      <c r="X34" s="80"/>
      <c r="Y34" s="80"/>
      <c r="Z34" s="80"/>
      <c r="AA34" s="80"/>
      <c r="AB34" s="80"/>
      <c r="AC34" s="80"/>
      <c r="AD34" s="80"/>
      <c r="AE34" s="80"/>
      <c r="AF34" s="80"/>
      <c r="AG34" s="80"/>
      <c r="AH34" s="80"/>
      <c r="AI34" s="80"/>
      <c r="AJ34" s="80" t="s">
        <v>190</v>
      </c>
      <c r="AK34" s="12"/>
      <c r="AL34" s="12"/>
      <c r="AM34" s="12"/>
      <c r="AN34" s="12"/>
      <c r="AO34" s="12"/>
      <c r="AP34" s="65" t="s">
        <v>23</v>
      </c>
      <c r="AQ34" s="59"/>
      <c r="AR34" s="62" t="str">
        <f t="shared" ref="AR34:BF34" si="37">IF(AR$16=0,AR9,"")</f>
        <v/>
      </c>
      <c r="AS34" s="62" t="str">
        <f t="shared" si="37"/>
        <v/>
      </c>
      <c r="AT34" s="62" t="str">
        <f t="shared" si="37"/>
        <v/>
      </c>
      <c r="AU34" s="62" t="str">
        <f t="shared" si="37"/>
        <v/>
      </c>
      <c r="AV34" s="62" t="str">
        <f t="shared" si="37"/>
        <v/>
      </c>
      <c r="AW34" s="62" t="str">
        <f t="shared" si="37"/>
        <v/>
      </c>
      <c r="AX34" s="62" t="str">
        <f t="shared" si="37"/>
        <v/>
      </c>
      <c r="AY34" s="62" t="str">
        <f t="shared" si="37"/>
        <v/>
      </c>
      <c r="AZ34" s="62" t="str">
        <f t="shared" si="37"/>
        <v/>
      </c>
      <c r="BA34" s="62" t="str">
        <f t="shared" si="37"/>
        <v/>
      </c>
      <c r="BB34" s="62" t="str">
        <f t="shared" si="37"/>
        <v/>
      </c>
      <c r="BC34" s="62" t="str">
        <f t="shared" si="37"/>
        <v/>
      </c>
      <c r="BD34" s="62" t="str">
        <f t="shared" si="37"/>
        <v/>
      </c>
      <c r="BE34" s="62" t="str">
        <f t="shared" si="37"/>
        <v/>
      </c>
      <c r="BF34" s="62" t="str">
        <f t="shared" si="37"/>
        <v/>
      </c>
      <c r="BI34" s="65" t="s">
        <v>23</v>
      </c>
      <c r="BJ34" s="59"/>
      <c r="BK34" s="62" t="e">
        <f t="shared" ref="BK34:BY36" si="38">IF(AR$16=0,AR9,NA())</f>
        <v>#N/A</v>
      </c>
      <c r="BL34" s="62" t="e">
        <f t="shared" si="38"/>
        <v>#N/A</v>
      </c>
      <c r="BM34" s="62" t="e">
        <f t="shared" si="38"/>
        <v>#N/A</v>
      </c>
      <c r="BN34" s="62" t="e">
        <f t="shared" si="38"/>
        <v>#N/A</v>
      </c>
      <c r="BO34" s="62" t="e">
        <f t="shared" si="38"/>
        <v>#N/A</v>
      </c>
      <c r="BP34" s="62" t="e">
        <f t="shared" si="38"/>
        <v>#N/A</v>
      </c>
      <c r="BQ34" s="62" t="e">
        <f t="shared" si="38"/>
        <v>#N/A</v>
      </c>
      <c r="BR34" s="62" t="e">
        <f t="shared" si="38"/>
        <v>#N/A</v>
      </c>
      <c r="BS34" s="62" t="e">
        <f t="shared" si="38"/>
        <v>#N/A</v>
      </c>
      <c r="BT34" s="62" t="e">
        <f t="shared" si="38"/>
        <v>#N/A</v>
      </c>
      <c r="BU34" s="62" t="e">
        <f t="shared" si="38"/>
        <v>#N/A</v>
      </c>
      <c r="BV34" s="62" t="e">
        <f t="shared" si="38"/>
        <v>#N/A</v>
      </c>
      <c r="BW34" s="62" t="e">
        <f t="shared" si="38"/>
        <v>#N/A</v>
      </c>
      <c r="BX34" s="62" t="e">
        <f t="shared" si="38"/>
        <v>#N/A</v>
      </c>
      <c r="BY34" s="62" t="e">
        <f t="shared" si="38"/>
        <v>#N/A</v>
      </c>
    </row>
    <row r="35" spans="1:77" x14ac:dyDescent="0.5">
      <c r="A35" s="12"/>
      <c r="B35" s="59" t="s">
        <v>23</v>
      </c>
      <c r="C35" s="59"/>
      <c r="D35" s="62" t="e">
        <f t="shared" ref="D35:R37" si="39">BK9</f>
        <v>#N/A</v>
      </c>
      <c r="E35" s="62" t="e">
        <f t="shared" si="39"/>
        <v>#N/A</v>
      </c>
      <c r="F35" s="62" t="e">
        <f t="shared" si="39"/>
        <v>#N/A</v>
      </c>
      <c r="G35" s="62" t="e">
        <f t="shared" si="39"/>
        <v>#N/A</v>
      </c>
      <c r="H35" s="62" t="e">
        <f t="shared" si="39"/>
        <v>#N/A</v>
      </c>
      <c r="I35" s="62" t="e">
        <f t="shared" si="39"/>
        <v>#N/A</v>
      </c>
      <c r="J35" s="62" t="e">
        <f t="shared" si="39"/>
        <v>#N/A</v>
      </c>
      <c r="K35" s="62" t="e">
        <f t="shared" si="39"/>
        <v>#N/A</v>
      </c>
      <c r="L35" s="62" t="e">
        <f t="shared" si="39"/>
        <v>#N/A</v>
      </c>
      <c r="M35" s="62" t="e">
        <f t="shared" si="39"/>
        <v>#N/A</v>
      </c>
      <c r="N35" s="62" t="e">
        <f t="shared" si="39"/>
        <v>#N/A</v>
      </c>
      <c r="O35" s="62" t="e">
        <f t="shared" si="39"/>
        <v>#N/A</v>
      </c>
      <c r="P35" s="62" t="e">
        <f t="shared" si="39"/>
        <v>#N/A</v>
      </c>
      <c r="Q35" s="62" t="e">
        <f t="shared" si="39"/>
        <v>#N/A</v>
      </c>
      <c r="R35" s="62" t="e">
        <f t="shared" si="39"/>
        <v>#N/A</v>
      </c>
      <c r="S35" s="12"/>
      <c r="T35" s="59" t="s">
        <v>23</v>
      </c>
      <c r="U35" s="59"/>
      <c r="V35" s="62" t="e">
        <f>BK9/$U$64*100</f>
        <v>#N/A</v>
      </c>
      <c r="W35" s="62" t="e">
        <f t="shared" ref="W35:AJ35" si="40">BL9/$U$64*100</f>
        <v>#N/A</v>
      </c>
      <c r="X35" s="62" t="e">
        <f t="shared" si="40"/>
        <v>#N/A</v>
      </c>
      <c r="Y35" s="62" t="e">
        <f t="shared" si="40"/>
        <v>#N/A</v>
      </c>
      <c r="Z35" s="62" t="e">
        <f t="shared" si="40"/>
        <v>#N/A</v>
      </c>
      <c r="AA35" s="62" t="e">
        <f t="shared" si="40"/>
        <v>#N/A</v>
      </c>
      <c r="AB35" s="62" t="e">
        <f t="shared" si="40"/>
        <v>#N/A</v>
      </c>
      <c r="AC35" s="62" t="e">
        <f t="shared" si="40"/>
        <v>#N/A</v>
      </c>
      <c r="AD35" s="62" t="e">
        <f t="shared" si="40"/>
        <v>#N/A</v>
      </c>
      <c r="AE35" s="62" t="e">
        <f t="shared" si="40"/>
        <v>#N/A</v>
      </c>
      <c r="AF35" s="62" t="e">
        <f t="shared" si="40"/>
        <v>#N/A</v>
      </c>
      <c r="AG35" s="62" t="e">
        <f t="shared" si="40"/>
        <v>#N/A</v>
      </c>
      <c r="AH35" s="62" t="e">
        <f t="shared" si="40"/>
        <v>#N/A</v>
      </c>
      <c r="AI35" s="62" t="e">
        <f t="shared" si="40"/>
        <v>#N/A</v>
      </c>
      <c r="AJ35" s="62" t="e">
        <f t="shared" si="40"/>
        <v>#N/A</v>
      </c>
      <c r="AK35" s="12"/>
      <c r="AL35" s="12"/>
      <c r="AM35" s="12"/>
      <c r="AN35" s="12"/>
      <c r="AO35" s="12"/>
      <c r="AP35" s="67" t="s">
        <v>18</v>
      </c>
      <c r="AQ35" s="59"/>
      <c r="AR35" s="62" t="str">
        <f t="shared" ref="AR35:BF35" si="41">IF(AR$16=0,AR10,"")</f>
        <v/>
      </c>
      <c r="AS35" s="62" t="str">
        <f t="shared" si="41"/>
        <v/>
      </c>
      <c r="AT35" s="62" t="str">
        <f t="shared" si="41"/>
        <v/>
      </c>
      <c r="AU35" s="62" t="str">
        <f t="shared" si="41"/>
        <v/>
      </c>
      <c r="AV35" s="62" t="str">
        <f t="shared" si="41"/>
        <v/>
      </c>
      <c r="AW35" s="62" t="str">
        <f t="shared" si="41"/>
        <v/>
      </c>
      <c r="AX35" s="62" t="str">
        <f t="shared" si="41"/>
        <v/>
      </c>
      <c r="AY35" s="62" t="str">
        <f t="shared" si="41"/>
        <v/>
      </c>
      <c r="AZ35" s="62" t="str">
        <f t="shared" si="41"/>
        <v/>
      </c>
      <c r="BA35" s="62" t="str">
        <f t="shared" si="41"/>
        <v/>
      </c>
      <c r="BB35" s="62" t="str">
        <f t="shared" si="41"/>
        <v/>
      </c>
      <c r="BC35" s="62" t="str">
        <f t="shared" si="41"/>
        <v/>
      </c>
      <c r="BD35" s="62" t="str">
        <f t="shared" si="41"/>
        <v/>
      </c>
      <c r="BE35" s="62" t="str">
        <f t="shared" si="41"/>
        <v/>
      </c>
      <c r="BF35" s="62" t="str">
        <f t="shared" si="41"/>
        <v/>
      </c>
      <c r="BI35" s="67" t="s">
        <v>18</v>
      </c>
      <c r="BJ35" s="59"/>
      <c r="BK35" s="62" t="e">
        <f t="shared" si="38"/>
        <v>#N/A</v>
      </c>
      <c r="BL35" s="62" t="e">
        <f t="shared" si="38"/>
        <v>#N/A</v>
      </c>
      <c r="BM35" s="62" t="e">
        <f t="shared" si="38"/>
        <v>#N/A</v>
      </c>
      <c r="BN35" s="62" t="e">
        <f t="shared" si="38"/>
        <v>#N/A</v>
      </c>
      <c r="BO35" s="62" t="e">
        <f t="shared" si="38"/>
        <v>#N/A</v>
      </c>
      <c r="BP35" s="62" t="e">
        <f t="shared" si="38"/>
        <v>#N/A</v>
      </c>
      <c r="BQ35" s="62" t="e">
        <f t="shared" si="38"/>
        <v>#N/A</v>
      </c>
      <c r="BR35" s="62" t="e">
        <f t="shared" si="38"/>
        <v>#N/A</v>
      </c>
      <c r="BS35" s="62" t="e">
        <f t="shared" si="38"/>
        <v>#N/A</v>
      </c>
      <c r="BT35" s="62" t="e">
        <f t="shared" si="38"/>
        <v>#N/A</v>
      </c>
      <c r="BU35" s="62" t="e">
        <f t="shared" si="38"/>
        <v>#N/A</v>
      </c>
      <c r="BV35" s="62" t="e">
        <f t="shared" si="38"/>
        <v>#N/A</v>
      </c>
      <c r="BW35" s="62" t="e">
        <f t="shared" si="38"/>
        <v>#N/A</v>
      </c>
      <c r="BX35" s="62" t="e">
        <f t="shared" si="38"/>
        <v>#N/A</v>
      </c>
      <c r="BY35" s="62" t="e">
        <f t="shared" si="38"/>
        <v>#N/A</v>
      </c>
    </row>
    <row r="36" spans="1:77" x14ac:dyDescent="0.5">
      <c r="A36" s="12"/>
      <c r="B36" s="59" t="s">
        <v>7</v>
      </c>
      <c r="C36" s="59"/>
      <c r="D36" s="62" t="e">
        <f t="shared" si="39"/>
        <v>#N/A</v>
      </c>
      <c r="E36" s="62" t="e">
        <f t="shared" si="39"/>
        <v>#N/A</v>
      </c>
      <c r="F36" s="62" t="e">
        <f t="shared" si="39"/>
        <v>#N/A</v>
      </c>
      <c r="G36" s="62" t="e">
        <f t="shared" si="39"/>
        <v>#N/A</v>
      </c>
      <c r="H36" s="62" t="e">
        <f t="shared" si="39"/>
        <v>#N/A</v>
      </c>
      <c r="I36" s="62" t="e">
        <f t="shared" si="39"/>
        <v>#N/A</v>
      </c>
      <c r="J36" s="62" t="e">
        <f t="shared" si="39"/>
        <v>#N/A</v>
      </c>
      <c r="K36" s="62" t="e">
        <f t="shared" si="39"/>
        <v>#N/A</v>
      </c>
      <c r="L36" s="62" t="e">
        <f t="shared" si="39"/>
        <v>#N/A</v>
      </c>
      <c r="M36" s="62" t="e">
        <f t="shared" si="39"/>
        <v>#N/A</v>
      </c>
      <c r="N36" s="62" t="e">
        <f t="shared" si="39"/>
        <v>#N/A</v>
      </c>
      <c r="O36" s="62" t="e">
        <f t="shared" si="39"/>
        <v>#N/A</v>
      </c>
      <c r="P36" s="62" t="e">
        <f t="shared" si="39"/>
        <v>#N/A</v>
      </c>
      <c r="Q36" s="62" t="e">
        <f t="shared" si="39"/>
        <v>#N/A</v>
      </c>
      <c r="R36" s="62" t="e">
        <f t="shared" si="39"/>
        <v>#N/A</v>
      </c>
      <c r="S36" s="12"/>
      <c r="T36" s="59" t="s">
        <v>7</v>
      </c>
      <c r="U36" s="59"/>
      <c r="V36" s="62" t="e">
        <f>BK10/$U$66*100</f>
        <v>#N/A</v>
      </c>
      <c r="W36" s="62" t="e">
        <f t="shared" ref="W36:AJ36" si="42">BL10/$U$66*100</f>
        <v>#N/A</v>
      </c>
      <c r="X36" s="62" t="e">
        <f t="shared" si="42"/>
        <v>#N/A</v>
      </c>
      <c r="Y36" s="62" t="e">
        <f t="shared" si="42"/>
        <v>#N/A</v>
      </c>
      <c r="Z36" s="62" t="e">
        <f t="shared" si="42"/>
        <v>#N/A</v>
      </c>
      <c r="AA36" s="62" t="e">
        <f t="shared" si="42"/>
        <v>#N/A</v>
      </c>
      <c r="AB36" s="62" t="e">
        <f t="shared" si="42"/>
        <v>#N/A</v>
      </c>
      <c r="AC36" s="62" t="e">
        <f t="shared" si="42"/>
        <v>#N/A</v>
      </c>
      <c r="AD36" s="62" t="e">
        <f t="shared" si="42"/>
        <v>#N/A</v>
      </c>
      <c r="AE36" s="62" t="e">
        <f t="shared" si="42"/>
        <v>#N/A</v>
      </c>
      <c r="AF36" s="62" t="e">
        <f t="shared" si="42"/>
        <v>#N/A</v>
      </c>
      <c r="AG36" s="62" t="e">
        <f t="shared" si="42"/>
        <v>#N/A</v>
      </c>
      <c r="AH36" s="62" t="e">
        <f t="shared" si="42"/>
        <v>#N/A</v>
      </c>
      <c r="AI36" s="62" t="e">
        <f t="shared" si="42"/>
        <v>#N/A</v>
      </c>
      <c r="AJ36" s="62" t="e">
        <f t="shared" si="42"/>
        <v>#N/A</v>
      </c>
      <c r="AK36" s="12"/>
      <c r="AL36" s="12"/>
      <c r="AM36" s="12"/>
      <c r="AN36" s="12"/>
      <c r="AO36" s="12"/>
      <c r="AP36" s="67" t="s">
        <v>0</v>
      </c>
      <c r="AQ36" s="59"/>
      <c r="AR36" s="62" t="str">
        <f t="shared" ref="AR36:BF36" si="43">IF(AR$16=0,AR11,"")</f>
        <v/>
      </c>
      <c r="AS36" s="62" t="str">
        <f t="shared" si="43"/>
        <v/>
      </c>
      <c r="AT36" s="62" t="str">
        <f t="shared" si="43"/>
        <v/>
      </c>
      <c r="AU36" s="62" t="str">
        <f t="shared" si="43"/>
        <v/>
      </c>
      <c r="AV36" s="62" t="str">
        <f t="shared" si="43"/>
        <v/>
      </c>
      <c r="AW36" s="62" t="str">
        <f t="shared" si="43"/>
        <v/>
      </c>
      <c r="AX36" s="62" t="str">
        <f t="shared" si="43"/>
        <v/>
      </c>
      <c r="AY36" s="62" t="str">
        <f t="shared" si="43"/>
        <v/>
      </c>
      <c r="AZ36" s="62" t="str">
        <f t="shared" si="43"/>
        <v/>
      </c>
      <c r="BA36" s="62" t="str">
        <f t="shared" si="43"/>
        <v/>
      </c>
      <c r="BB36" s="62" t="str">
        <f t="shared" si="43"/>
        <v/>
      </c>
      <c r="BC36" s="62" t="str">
        <f t="shared" si="43"/>
        <v/>
      </c>
      <c r="BD36" s="62" t="str">
        <f t="shared" si="43"/>
        <v/>
      </c>
      <c r="BE36" s="62" t="str">
        <f t="shared" si="43"/>
        <v/>
      </c>
      <c r="BF36" s="62" t="str">
        <f t="shared" si="43"/>
        <v/>
      </c>
      <c r="BI36" s="67" t="s">
        <v>0</v>
      </c>
      <c r="BJ36" s="59"/>
      <c r="BK36" s="62" t="e">
        <f t="shared" si="38"/>
        <v>#N/A</v>
      </c>
      <c r="BL36" s="62" t="e">
        <f t="shared" si="38"/>
        <v>#N/A</v>
      </c>
      <c r="BM36" s="62" t="e">
        <f t="shared" si="38"/>
        <v>#N/A</v>
      </c>
      <c r="BN36" s="62" t="e">
        <f t="shared" si="38"/>
        <v>#N/A</v>
      </c>
      <c r="BO36" s="62" t="e">
        <f t="shared" si="38"/>
        <v>#N/A</v>
      </c>
      <c r="BP36" s="62" t="e">
        <f t="shared" si="38"/>
        <v>#N/A</v>
      </c>
      <c r="BQ36" s="62" t="e">
        <f t="shared" si="38"/>
        <v>#N/A</v>
      </c>
      <c r="BR36" s="62" t="e">
        <f t="shared" si="38"/>
        <v>#N/A</v>
      </c>
      <c r="BS36" s="62" t="e">
        <f t="shared" si="38"/>
        <v>#N/A</v>
      </c>
      <c r="BT36" s="62" t="e">
        <f t="shared" si="38"/>
        <v>#N/A</v>
      </c>
      <c r="BU36" s="62" t="e">
        <f t="shared" si="38"/>
        <v>#N/A</v>
      </c>
      <c r="BV36" s="62" t="e">
        <f t="shared" si="38"/>
        <v>#N/A</v>
      </c>
      <c r="BW36" s="62" t="e">
        <f t="shared" si="38"/>
        <v>#N/A</v>
      </c>
      <c r="BX36" s="62" t="e">
        <f t="shared" si="38"/>
        <v>#N/A</v>
      </c>
      <c r="BY36" s="62" t="e">
        <f t="shared" si="38"/>
        <v>#N/A</v>
      </c>
    </row>
    <row r="37" spans="1:77" x14ac:dyDescent="0.5">
      <c r="A37" s="12"/>
      <c r="B37" s="59" t="s">
        <v>8</v>
      </c>
      <c r="C37" s="59"/>
      <c r="D37" s="62" t="e">
        <f t="shared" si="39"/>
        <v>#N/A</v>
      </c>
      <c r="E37" s="62" t="e">
        <f t="shared" si="39"/>
        <v>#N/A</v>
      </c>
      <c r="F37" s="62" t="e">
        <f t="shared" si="39"/>
        <v>#N/A</v>
      </c>
      <c r="G37" s="62" t="e">
        <f t="shared" si="39"/>
        <v>#N/A</v>
      </c>
      <c r="H37" s="62" t="e">
        <f t="shared" si="39"/>
        <v>#N/A</v>
      </c>
      <c r="I37" s="62" t="e">
        <f t="shared" si="39"/>
        <v>#N/A</v>
      </c>
      <c r="J37" s="62" t="e">
        <f t="shared" si="39"/>
        <v>#N/A</v>
      </c>
      <c r="K37" s="62" t="e">
        <f t="shared" si="39"/>
        <v>#N/A</v>
      </c>
      <c r="L37" s="62" t="e">
        <f t="shared" si="39"/>
        <v>#N/A</v>
      </c>
      <c r="M37" s="62" t="e">
        <f t="shared" si="39"/>
        <v>#N/A</v>
      </c>
      <c r="N37" s="62" t="e">
        <f t="shared" si="39"/>
        <v>#N/A</v>
      </c>
      <c r="O37" s="62" t="e">
        <f t="shared" si="39"/>
        <v>#N/A</v>
      </c>
      <c r="P37" s="62" t="e">
        <f t="shared" si="39"/>
        <v>#N/A</v>
      </c>
      <c r="Q37" s="62" t="e">
        <f t="shared" si="39"/>
        <v>#N/A</v>
      </c>
      <c r="R37" s="62" t="e">
        <f t="shared" si="39"/>
        <v>#N/A</v>
      </c>
      <c r="S37" s="12"/>
      <c r="T37" s="59" t="s">
        <v>8</v>
      </c>
      <c r="U37" s="59"/>
      <c r="V37" s="62" t="e">
        <f>BK11/$U$67*100</f>
        <v>#N/A</v>
      </c>
      <c r="W37" s="62" t="e">
        <f t="shared" ref="W37:AJ37" si="44">BL11/$U$67*100</f>
        <v>#N/A</v>
      </c>
      <c r="X37" s="62" t="e">
        <f t="shared" si="44"/>
        <v>#N/A</v>
      </c>
      <c r="Y37" s="62" t="e">
        <f t="shared" si="44"/>
        <v>#N/A</v>
      </c>
      <c r="Z37" s="62" t="e">
        <f t="shared" si="44"/>
        <v>#N/A</v>
      </c>
      <c r="AA37" s="62" t="e">
        <f t="shared" si="44"/>
        <v>#N/A</v>
      </c>
      <c r="AB37" s="62" t="e">
        <f t="shared" si="44"/>
        <v>#N/A</v>
      </c>
      <c r="AC37" s="62" t="e">
        <f t="shared" si="44"/>
        <v>#N/A</v>
      </c>
      <c r="AD37" s="62" t="e">
        <f t="shared" si="44"/>
        <v>#N/A</v>
      </c>
      <c r="AE37" s="62" t="e">
        <f t="shared" si="44"/>
        <v>#N/A</v>
      </c>
      <c r="AF37" s="62" t="e">
        <f t="shared" si="44"/>
        <v>#N/A</v>
      </c>
      <c r="AG37" s="62" t="e">
        <f t="shared" si="44"/>
        <v>#N/A</v>
      </c>
      <c r="AH37" s="62" t="e">
        <f t="shared" si="44"/>
        <v>#N/A</v>
      </c>
      <c r="AI37" s="62" t="e">
        <f t="shared" si="44"/>
        <v>#N/A</v>
      </c>
      <c r="AJ37" s="62" t="e">
        <f t="shared" si="44"/>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3" t="s">
        <v>81</v>
      </c>
    </row>
    <row r="39" spans="1:77" x14ac:dyDescent="0.5">
      <c r="A39" s="12"/>
      <c r="B39" s="53" t="s">
        <v>47</v>
      </c>
      <c r="C39" s="12"/>
      <c r="O39" s="17"/>
      <c r="S39" s="12"/>
      <c r="X39" s="12"/>
      <c r="Y39" s="12"/>
      <c r="Z39" s="12"/>
      <c r="AA39" s="12"/>
      <c r="AB39" s="12"/>
      <c r="AC39" s="12"/>
      <c r="AD39" s="12"/>
      <c r="AE39" s="12"/>
      <c r="AF39" s="12"/>
      <c r="AG39" s="12"/>
      <c r="AH39" s="12"/>
      <c r="AI39" s="12"/>
      <c r="AJ39" s="12"/>
      <c r="AK39" s="12"/>
      <c r="AL39" s="12"/>
      <c r="AM39" s="12"/>
      <c r="AN39" s="12"/>
      <c r="AP39" s="59" t="s">
        <v>82</v>
      </c>
      <c r="AQ39" s="62"/>
      <c r="AR39" s="62" t="str">
        <f>IF(AR19="","",AR19)</f>
        <v/>
      </c>
      <c r="AS39" s="62" t="str">
        <f t="shared" ref="AS39:AZ39" si="45">IF(AS19="","",AS19)</f>
        <v/>
      </c>
      <c r="AT39" s="62" t="str">
        <f t="shared" si="45"/>
        <v/>
      </c>
      <c r="AU39" s="62" t="str">
        <f t="shared" si="45"/>
        <v/>
      </c>
      <c r="AV39" s="62" t="str">
        <f t="shared" si="45"/>
        <v/>
      </c>
      <c r="AW39" s="62" t="str">
        <f t="shared" si="45"/>
        <v/>
      </c>
      <c r="AX39" s="62" t="str">
        <f t="shared" si="45"/>
        <v/>
      </c>
      <c r="AY39" s="62" t="str">
        <f t="shared" si="45"/>
        <v/>
      </c>
      <c r="AZ39" s="62" t="str">
        <f t="shared" si="45"/>
        <v/>
      </c>
      <c r="BA39" s="62" t="str">
        <f t="shared" ref="BA39:BF39" si="46">IF(BA19="","",BA19)</f>
        <v/>
      </c>
      <c r="BB39" s="62" t="str">
        <f t="shared" si="46"/>
        <v/>
      </c>
      <c r="BC39" s="62" t="str">
        <f t="shared" si="46"/>
        <v/>
      </c>
      <c r="BD39" s="62" t="str">
        <f t="shared" si="46"/>
        <v/>
      </c>
      <c r="BE39" s="62" t="str">
        <f t="shared" si="46"/>
        <v/>
      </c>
      <c r="BF39" s="62" t="str">
        <f t="shared" si="46"/>
        <v/>
      </c>
    </row>
    <row r="40" spans="1:77" x14ac:dyDescent="0.5">
      <c r="A40" s="12"/>
      <c r="B40" s="59" t="s">
        <v>23</v>
      </c>
      <c r="C40" s="59"/>
      <c r="D40" s="59" t="e">
        <f t="shared" ref="D40:R42" si="47">IF($Z$64=1,BK18,IF($Z$64=2,BK48,IF($Z$64=3,BK82,IF($Z$64=4,BK110,IF($Z$64=5,BK169)))))</f>
        <v>#N/A</v>
      </c>
      <c r="E40" s="59" t="e">
        <f t="shared" si="47"/>
        <v>#N/A</v>
      </c>
      <c r="F40" s="59" t="e">
        <f t="shared" si="47"/>
        <v>#N/A</v>
      </c>
      <c r="G40" s="59" t="e">
        <f t="shared" si="47"/>
        <v>#N/A</v>
      </c>
      <c r="H40" s="59" t="e">
        <f t="shared" si="47"/>
        <v>#N/A</v>
      </c>
      <c r="I40" s="59" t="e">
        <f t="shared" si="47"/>
        <v>#N/A</v>
      </c>
      <c r="J40" s="59" t="e">
        <f t="shared" si="47"/>
        <v>#N/A</v>
      </c>
      <c r="K40" s="59" t="e">
        <f t="shared" si="47"/>
        <v>#N/A</v>
      </c>
      <c r="L40" s="59" t="e">
        <f t="shared" si="47"/>
        <v>#N/A</v>
      </c>
      <c r="M40" s="59" t="e">
        <f t="shared" si="47"/>
        <v>#N/A</v>
      </c>
      <c r="N40" s="59" t="e">
        <f t="shared" si="47"/>
        <v>#N/A</v>
      </c>
      <c r="O40" s="59" t="e">
        <f t="shared" si="47"/>
        <v>#N/A</v>
      </c>
      <c r="P40" s="59" t="e">
        <f t="shared" si="47"/>
        <v>#N/A</v>
      </c>
      <c r="Q40" s="59" t="e">
        <f t="shared" si="47"/>
        <v>#N/A</v>
      </c>
      <c r="R40" s="59" t="e">
        <f t="shared" si="47"/>
        <v>#N/A</v>
      </c>
      <c r="S40" s="12"/>
      <c r="T40" s="59" t="s">
        <v>21</v>
      </c>
      <c r="U40" s="59"/>
      <c r="V40" s="59" t="e">
        <f t="shared" ref="V40:AJ40" si="48">_xlfn.IFNA(D40/$U$64*100,NA())</f>
        <v>#N/A</v>
      </c>
      <c r="W40" s="59" t="e">
        <f t="shared" si="48"/>
        <v>#N/A</v>
      </c>
      <c r="X40" s="59" t="e">
        <f t="shared" si="48"/>
        <v>#N/A</v>
      </c>
      <c r="Y40" s="59" t="e">
        <f t="shared" si="48"/>
        <v>#N/A</v>
      </c>
      <c r="Z40" s="59" t="e">
        <f t="shared" si="48"/>
        <v>#N/A</v>
      </c>
      <c r="AA40" s="59" t="e">
        <f t="shared" si="48"/>
        <v>#N/A</v>
      </c>
      <c r="AB40" s="59" t="e">
        <f t="shared" si="48"/>
        <v>#N/A</v>
      </c>
      <c r="AC40" s="59" t="e">
        <f t="shared" si="48"/>
        <v>#N/A</v>
      </c>
      <c r="AD40" s="59" t="e">
        <f t="shared" si="48"/>
        <v>#N/A</v>
      </c>
      <c r="AE40" s="59" t="e">
        <f t="shared" si="48"/>
        <v>#N/A</v>
      </c>
      <c r="AF40" s="59" t="e">
        <f t="shared" si="48"/>
        <v>#N/A</v>
      </c>
      <c r="AG40" s="59" t="e">
        <f t="shared" si="48"/>
        <v>#N/A</v>
      </c>
      <c r="AH40" s="59" t="e">
        <f t="shared" si="48"/>
        <v>#N/A</v>
      </c>
      <c r="AI40" s="59" t="e">
        <f t="shared" si="48"/>
        <v>#N/A</v>
      </c>
      <c r="AJ40" s="59" t="e">
        <f t="shared" si="48"/>
        <v>#N/A</v>
      </c>
      <c r="AK40" s="12"/>
      <c r="AL40" s="12"/>
      <c r="AM40" s="12"/>
      <c r="AN40" s="12"/>
      <c r="AP40" s="59" t="s">
        <v>83</v>
      </c>
      <c r="AQ40" s="62"/>
      <c r="AR40" s="62" t="str">
        <f>IF(AR39="","",AR26)</f>
        <v/>
      </c>
      <c r="AS40" s="62" t="str">
        <f t="shared" ref="AS40:AZ40" si="49">IF(AS39="","",AS26)</f>
        <v/>
      </c>
      <c r="AT40" s="62" t="str">
        <f t="shared" si="49"/>
        <v/>
      </c>
      <c r="AU40" s="62" t="str">
        <f t="shared" si="49"/>
        <v/>
      </c>
      <c r="AV40" s="62" t="str">
        <f t="shared" si="49"/>
        <v/>
      </c>
      <c r="AW40" s="62" t="str">
        <f t="shared" si="49"/>
        <v/>
      </c>
      <c r="AX40" s="62" t="str">
        <f t="shared" si="49"/>
        <v/>
      </c>
      <c r="AY40" s="62" t="str">
        <f t="shared" si="49"/>
        <v/>
      </c>
      <c r="AZ40" s="62" t="str">
        <f t="shared" si="49"/>
        <v/>
      </c>
      <c r="BA40" s="62" t="str">
        <f t="shared" ref="BA40:BF40" si="50">IF(BA39="","",BA26)</f>
        <v/>
      </c>
      <c r="BB40" s="62" t="str">
        <f t="shared" si="50"/>
        <v/>
      </c>
      <c r="BC40" s="62" t="str">
        <f t="shared" si="50"/>
        <v/>
      </c>
      <c r="BD40" s="62" t="str">
        <f t="shared" si="50"/>
        <v/>
      </c>
      <c r="BE40" s="62" t="str">
        <f t="shared" si="50"/>
        <v/>
      </c>
      <c r="BF40" s="62" t="str">
        <f t="shared" si="50"/>
        <v/>
      </c>
    </row>
    <row r="41" spans="1:77" x14ac:dyDescent="0.5">
      <c r="A41" s="12"/>
      <c r="B41" s="59" t="s">
        <v>7</v>
      </c>
      <c r="C41" s="59"/>
      <c r="D41" s="59" t="e">
        <f t="shared" si="47"/>
        <v>#N/A</v>
      </c>
      <c r="E41" s="59" t="e">
        <f t="shared" si="47"/>
        <v>#N/A</v>
      </c>
      <c r="F41" s="59" t="e">
        <f t="shared" si="47"/>
        <v>#N/A</v>
      </c>
      <c r="G41" s="59" t="e">
        <f t="shared" si="47"/>
        <v>#N/A</v>
      </c>
      <c r="H41" s="59" t="e">
        <f t="shared" si="47"/>
        <v>#N/A</v>
      </c>
      <c r="I41" s="59" t="e">
        <f t="shared" si="47"/>
        <v>#N/A</v>
      </c>
      <c r="J41" s="59" t="e">
        <f t="shared" si="47"/>
        <v>#N/A</v>
      </c>
      <c r="K41" s="59" t="e">
        <f t="shared" si="47"/>
        <v>#N/A</v>
      </c>
      <c r="L41" s="59" t="e">
        <f t="shared" si="47"/>
        <v>#N/A</v>
      </c>
      <c r="M41" s="59" t="e">
        <f t="shared" si="47"/>
        <v>#N/A</v>
      </c>
      <c r="N41" s="59" t="e">
        <f t="shared" si="47"/>
        <v>#N/A</v>
      </c>
      <c r="O41" s="59" t="e">
        <f t="shared" si="47"/>
        <v>#N/A</v>
      </c>
      <c r="P41" s="59" t="e">
        <f t="shared" si="47"/>
        <v>#N/A</v>
      </c>
      <c r="Q41" s="59" t="e">
        <f t="shared" si="47"/>
        <v>#N/A</v>
      </c>
      <c r="R41" s="59" t="e">
        <f t="shared" si="47"/>
        <v>#N/A</v>
      </c>
      <c r="S41" s="12"/>
      <c r="T41" s="59" t="s">
        <v>95</v>
      </c>
      <c r="U41" s="59"/>
      <c r="V41" s="59" t="e">
        <f t="shared" ref="V41:AJ41" si="51">_xlfn.IFNA(D41/$U$66*100,NA())</f>
        <v>#N/A</v>
      </c>
      <c r="W41" s="59" t="e">
        <f t="shared" si="51"/>
        <v>#N/A</v>
      </c>
      <c r="X41" s="59" t="e">
        <f t="shared" si="51"/>
        <v>#N/A</v>
      </c>
      <c r="Y41" s="59" t="e">
        <f t="shared" si="51"/>
        <v>#N/A</v>
      </c>
      <c r="Z41" s="59" t="e">
        <f t="shared" si="51"/>
        <v>#N/A</v>
      </c>
      <c r="AA41" s="59" t="e">
        <f t="shared" si="51"/>
        <v>#N/A</v>
      </c>
      <c r="AB41" s="59" t="e">
        <f t="shared" si="51"/>
        <v>#N/A</v>
      </c>
      <c r="AC41" s="59" t="e">
        <f t="shared" si="51"/>
        <v>#N/A</v>
      </c>
      <c r="AD41" s="59" t="e">
        <f t="shared" si="51"/>
        <v>#N/A</v>
      </c>
      <c r="AE41" s="59" t="e">
        <f t="shared" si="51"/>
        <v>#N/A</v>
      </c>
      <c r="AF41" s="59" t="e">
        <f t="shared" si="51"/>
        <v>#N/A</v>
      </c>
      <c r="AG41" s="59" t="e">
        <f t="shared" si="51"/>
        <v>#N/A</v>
      </c>
      <c r="AH41" s="59" t="e">
        <f t="shared" si="51"/>
        <v>#N/A</v>
      </c>
      <c r="AI41" s="59" t="e">
        <f t="shared" si="51"/>
        <v>#N/A</v>
      </c>
      <c r="AJ41" s="59" t="e">
        <f t="shared" si="51"/>
        <v>#N/A</v>
      </c>
      <c r="AK41" s="12"/>
      <c r="AL41" s="12"/>
      <c r="AM41" s="12"/>
      <c r="AN41" s="12"/>
      <c r="AP41" s="59" t="s">
        <v>84</v>
      </c>
      <c r="AQ41" s="59"/>
      <c r="AR41" s="62" t="str">
        <f>IF(AR39="","",(AR39-AR40)^2)</f>
        <v/>
      </c>
      <c r="AS41" s="62" t="str">
        <f t="shared" ref="AS41:AZ41" si="52">IF(AS39="","",(AS39-AS40)^2)</f>
        <v/>
      </c>
      <c r="AT41" s="62" t="str">
        <f t="shared" si="52"/>
        <v/>
      </c>
      <c r="AU41" s="62" t="str">
        <f t="shared" si="52"/>
        <v/>
      </c>
      <c r="AV41" s="62" t="str">
        <f t="shared" si="52"/>
        <v/>
      </c>
      <c r="AW41" s="62" t="str">
        <f t="shared" si="52"/>
        <v/>
      </c>
      <c r="AX41" s="62" t="str">
        <f t="shared" si="52"/>
        <v/>
      </c>
      <c r="AY41" s="62" t="str">
        <f t="shared" si="52"/>
        <v/>
      </c>
      <c r="AZ41" s="62" t="str">
        <f t="shared" si="52"/>
        <v/>
      </c>
      <c r="BA41" s="62" t="str">
        <f t="shared" ref="BA41:BF41" si="53">IF(BA39="","",(BA39-BA40)^2)</f>
        <v/>
      </c>
      <c r="BB41" s="62" t="str">
        <f t="shared" si="53"/>
        <v/>
      </c>
      <c r="BC41" s="62" t="str">
        <f t="shared" si="53"/>
        <v/>
      </c>
      <c r="BD41" s="62" t="str">
        <f t="shared" si="53"/>
        <v/>
      </c>
      <c r="BE41" s="62" t="str">
        <f t="shared" si="53"/>
        <v/>
      </c>
      <c r="BF41" s="62" t="str">
        <f t="shared" si="53"/>
        <v/>
      </c>
    </row>
    <row r="42" spans="1:77" x14ac:dyDescent="0.5">
      <c r="A42" s="12"/>
      <c r="B42" s="59" t="s">
        <v>8</v>
      </c>
      <c r="C42" s="59"/>
      <c r="D42" s="59" t="e">
        <f t="shared" si="47"/>
        <v>#N/A</v>
      </c>
      <c r="E42" s="59" t="e">
        <f t="shared" si="47"/>
        <v>#N/A</v>
      </c>
      <c r="F42" s="59" t="e">
        <f t="shared" si="47"/>
        <v>#N/A</v>
      </c>
      <c r="G42" s="59" t="e">
        <f t="shared" si="47"/>
        <v>#N/A</v>
      </c>
      <c r="H42" s="59" t="e">
        <f t="shared" si="47"/>
        <v>#N/A</v>
      </c>
      <c r="I42" s="59" t="e">
        <f t="shared" si="47"/>
        <v>#N/A</v>
      </c>
      <c r="J42" s="59" t="e">
        <f t="shared" si="47"/>
        <v>#N/A</v>
      </c>
      <c r="K42" s="59" t="e">
        <f t="shared" si="47"/>
        <v>#N/A</v>
      </c>
      <c r="L42" s="59" t="e">
        <f t="shared" si="47"/>
        <v>#N/A</v>
      </c>
      <c r="M42" s="59" t="e">
        <f t="shared" si="47"/>
        <v>#N/A</v>
      </c>
      <c r="N42" s="59" t="e">
        <f t="shared" si="47"/>
        <v>#N/A</v>
      </c>
      <c r="O42" s="59" t="e">
        <f t="shared" si="47"/>
        <v>#N/A</v>
      </c>
      <c r="P42" s="59" t="e">
        <f t="shared" si="47"/>
        <v>#N/A</v>
      </c>
      <c r="Q42" s="59" t="e">
        <f t="shared" si="47"/>
        <v>#N/A</v>
      </c>
      <c r="R42" s="59" t="e">
        <f t="shared" si="47"/>
        <v>#N/A</v>
      </c>
      <c r="S42" s="12"/>
      <c r="T42" s="59" t="s">
        <v>96</v>
      </c>
      <c r="U42" s="59"/>
      <c r="V42" s="59" t="e">
        <f t="shared" ref="V42:AJ42" si="54">_xlfn.IFNA(D42/$U$67*100,NA())</f>
        <v>#N/A</v>
      </c>
      <c r="W42" s="59" t="e">
        <f t="shared" si="54"/>
        <v>#N/A</v>
      </c>
      <c r="X42" s="59" t="e">
        <f t="shared" si="54"/>
        <v>#N/A</v>
      </c>
      <c r="Y42" s="59" t="e">
        <f t="shared" si="54"/>
        <v>#N/A</v>
      </c>
      <c r="Z42" s="59" t="e">
        <f t="shared" si="54"/>
        <v>#N/A</v>
      </c>
      <c r="AA42" s="59" t="e">
        <f t="shared" si="54"/>
        <v>#N/A</v>
      </c>
      <c r="AB42" s="59" t="e">
        <f t="shared" si="54"/>
        <v>#N/A</v>
      </c>
      <c r="AC42" s="59" t="e">
        <f t="shared" si="54"/>
        <v>#N/A</v>
      </c>
      <c r="AD42" s="59" t="e">
        <f t="shared" si="54"/>
        <v>#N/A</v>
      </c>
      <c r="AE42" s="59" t="e">
        <f t="shared" si="54"/>
        <v>#N/A</v>
      </c>
      <c r="AF42" s="59" t="e">
        <f t="shared" si="54"/>
        <v>#N/A</v>
      </c>
      <c r="AG42" s="59" t="e">
        <f t="shared" si="54"/>
        <v>#N/A</v>
      </c>
      <c r="AH42" s="59" t="e">
        <f t="shared" si="54"/>
        <v>#N/A</v>
      </c>
      <c r="AI42" s="59" t="e">
        <f t="shared" si="54"/>
        <v>#N/A</v>
      </c>
      <c r="AJ42" s="59" t="e">
        <f t="shared" si="54"/>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54</v>
      </c>
      <c r="AP43" s="53" t="s">
        <v>51</v>
      </c>
      <c r="AR43" s="52" t="s">
        <v>110</v>
      </c>
    </row>
    <row r="44" spans="1:77" x14ac:dyDescent="0.5">
      <c r="A44" s="12"/>
      <c r="B44" s="56" t="s">
        <v>48</v>
      </c>
      <c r="O44" s="17"/>
      <c r="S44" s="12"/>
      <c r="X44" s="12"/>
      <c r="Y44" s="12"/>
      <c r="Z44" s="12"/>
      <c r="AA44" s="12"/>
      <c r="AB44" s="12"/>
      <c r="AC44" s="12"/>
      <c r="AD44" s="12"/>
      <c r="AE44" s="12"/>
      <c r="AF44" s="12"/>
      <c r="AG44" s="12"/>
      <c r="AH44" s="12"/>
      <c r="AI44" s="12"/>
      <c r="AJ44" s="12"/>
      <c r="AK44" s="12"/>
      <c r="AL44" s="12"/>
      <c r="AM44" s="12"/>
      <c r="AN44" s="12"/>
      <c r="AO44" s="12"/>
      <c r="AP44" s="59" t="s">
        <v>52</v>
      </c>
      <c r="AQ44" s="59"/>
      <c r="AR44" s="63" t="str">
        <f>IF(AR13=0,"",IF(AR8&gt;=0.45,1,0))</f>
        <v/>
      </c>
      <c r="AS44" s="63" t="str">
        <f>IF(AS13=0,"",IF(AS8&gt;=0.45,1,0))</f>
        <v/>
      </c>
      <c r="AT44" s="63" t="str">
        <f t="shared" ref="AT44:BF44" si="55">IF(AT13=0,"",IF(AT8&gt;=0.45,1,0))</f>
        <v/>
      </c>
      <c r="AU44" s="63" t="str">
        <f t="shared" si="55"/>
        <v/>
      </c>
      <c r="AV44" s="63" t="str">
        <f t="shared" si="55"/>
        <v/>
      </c>
      <c r="AW44" s="63" t="str">
        <f t="shared" si="55"/>
        <v/>
      </c>
      <c r="AX44" s="63" t="str">
        <f t="shared" si="55"/>
        <v/>
      </c>
      <c r="AY44" s="63" t="str">
        <f t="shared" si="55"/>
        <v/>
      </c>
      <c r="AZ44" s="63" t="str">
        <f t="shared" si="55"/>
        <v/>
      </c>
      <c r="BA44" s="63" t="str">
        <f t="shared" si="55"/>
        <v/>
      </c>
      <c r="BB44" s="63" t="str">
        <f t="shared" si="55"/>
        <v/>
      </c>
      <c r="BC44" s="63" t="str">
        <f t="shared" si="55"/>
        <v/>
      </c>
      <c r="BD44" s="63" t="str">
        <f t="shared" si="55"/>
        <v/>
      </c>
      <c r="BE44" s="63" t="str">
        <f t="shared" si="55"/>
        <v/>
      </c>
      <c r="BF44" s="63" t="str">
        <f t="shared" si="55"/>
        <v/>
      </c>
    </row>
    <row r="45" spans="1:77" x14ac:dyDescent="0.5">
      <c r="A45" s="12"/>
      <c r="B45" s="67" t="s">
        <v>20</v>
      </c>
      <c r="C45" s="67"/>
      <c r="D45" s="59" t="e">
        <f t="shared" ref="D45:R47" si="56">IF($Z$64=1,BK26,IF($Z$64=2,BK57,IF($Z$64=3,BK91,IF($Z$64=4,BK136,IF($Z$64=5,BK195)))))</f>
        <v>#N/A</v>
      </c>
      <c r="E45" s="59" t="e">
        <f t="shared" si="56"/>
        <v>#N/A</v>
      </c>
      <c r="F45" s="59" t="e">
        <f t="shared" si="56"/>
        <v>#N/A</v>
      </c>
      <c r="G45" s="59" t="e">
        <f t="shared" si="56"/>
        <v>#N/A</v>
      </c>
      <c r="H45" s="59" t="e">
        <f t="shared" si="56"/>
        <v>#N/A</v>
      </c>
      <c r="I45" s="59" t="e">
        <f t="shared" si="56"/>
        <v>#N/A</v>
      </c>
      <c r="J45" s="59" t="e">
        <f t="shared" si="56"/>
        <v>#N/A</v>
      </c>
      <c r="K45" s="59" t="e">
        <f t="shared" si="56"/>
        <v>#N/A</v>
      </c>
      <c r="L45" s="59" t="e">
        <f t="shared" si="56"/>
        <v>#N/A</v>
      </c>
      <c r="M45" s="59" t="e">
        <f t="shared" si="56"/>
        <v>#N/A</v>
      </c>
      <c r="N45" s="59" t="e">
        <f t="shared" si="56"/>
        <v>#N/A</v>
      </c>
      <c r="O45" s="59" t="e">
        <f t="shared" si="56"/>
        <v>#N/A</v>
      </c>
      <c r="P45" s="59" t="e">
        <f t="shared" si="56"/>
        <v>#N/A</v>
      </c>
      <c r="Q45" s="59" t="e">
        <f t="shared" si="56"/>
        <v>#N/A</v>
      </c>
      <c r="R45" s="59" t="e">
        <f t="shared" si="56"/>
        <v>#N/A</v>
      </c>
      <c r="S45" s="12"/>
      <c r="T45" s="59" t="s">
        <v>97</v>
      </c>
      <c r="U45" s="59"/>
      <c r="V45" s="59" t="e">
        <f t="shared" ref="V45:AJ47" si="57">_xlfn.IFNA(D45/$U$66*100,NA())</f>
        <v>#N/A</v>
      </c>
      <c r="W45" s="59" t="e">
        <f t="shared" si="57"/>
        <v>#N/A</v>
      </c>
      <c r="X45" s="59" t="e">
        <f t="shared" si="57"/>
        <v>#N/A</v>
      </c>
      <c r="Y45" s="59" t="e">
        <f t="shared" si="57"/>
        <v>#N/A</v>
      </c>
      <c r="Z45" s="59" t="e">
        <f t="shared" si="57"/>
        <v>#N/A</v>
      </c>
      <c r="AA45" s="59" t="e">
        <f t="shared" si="57"/>
        <v>#N/A</v>
      </c>
      <c r="AB45" s="59" t="e">
        <f t="shared" si="57"/>
        <v>#N/A</v>
      </c>
      <c r="AC45" s="59" t="e">
        <f t="shared" si="57"/>
        <v>#N/A</v>
      </c>
      <c r="AD45" s="59" t="e">
        <f t="shared" si="57"/>
        <v>#N/A</v>
      </c>
      <c r="AE45" s="59" t="e">
        <f t="shared" si="57"/>
        <v>#N/A</v>
      </c>
      <c r="AF45" s="59" t="e">
        <f t="shared" si="57"/>
        <v>#N/A</v>
      </c>
      <c r="AG45" s="59" t="e">
        <f t="shared" si="57"/>
        <v>#N/A</v>
      </c>
      <c r="AH45" s="59" t="e">
        <f t="shared" si="57"/>
        <v>#N/A</v>
      </c>
      <c r="AI45" s="59" t="e">
        <f t="shared" si="57"/>
        <v>#N/A</v>
      </c>
      <c r="AJ45" s="59" t="e">
        <f t="shared" si="57"/>
        <v>#N/A</v>
      </c>
      <c r="AK45" s="12"/>
      <c r="AL45" s="12"/>
      <c r="AM45" s="12"/>
      <c r="AN45" s="12"/>
      <c r="AO45" s="12"/>
      <c r="AP45" s="59" t="s">
        <v>35</v>
      </c>
      <c r="AQ45" s="59"/>
      <c r="AR45" s="63" t="str">
        <f t="shared" ref="AR45:AZ45" si="58">IF(AR13=0,"",MIN(AR16,AR44))</f>
        <v/>
      </c>
      <c r="AS45" s="63" t="str">
        <f t="shared" si="58"/>
        <v/>
      </c>
      <c r="AT45" s="63" t="str">
        <f t="shared" si="58"/>
        <v/>
      </c>
      <c r="AU45" s="63" t="str">
        <f t="shared" si="58"/>
        <v/>
      </c>
      <c r="AV45" s="63" t="str">
        <f t="shared" si="58"/>
        <v/>
      </c>
      <c r="AW45" s="63" t="str">
        <f t="shared" si="58"/>
        <v/>
      </c>
      <c r="AX45" s="63" t="str">
        <f t="shared" si="58"/>
        <v/>
      </c>
      <c r="AY45" s="63" t="str">
        <f t="shared" si="58"/>
        <v/>
      </c>
      <c r="AZ45" s="63" t="str">
        <f t="shared" si="58"/>
        <v/>
      </c>
      <c r="BA45" s="63" t="str">
        <f t="shared" ref="BA45:BF45" si="59">IF(BA13=0,"",MIN(BA16,BA44))</f>
        <v/>
      </c>
      <c r="BB45" s="63" t="str">
        <f t="shared" si="59"/>
        <v/>
      </c>
      <c r="BC45" s="63" t="str">
        <f t="shared" si="59"/>
        <v/>
      </c>
      <c r="BD45" s="63" t="str">
        <f t="shared" si="59"/>
        <v/>
      </c>
      <c r="BE45" s="63" t="str">
        <f t="shared" si="59"/>
        <v/>
      </c>
      <c r="BF45" s="63" t="str">
        <f t="shared" si="59"/>
        <v/>
      </c>
    </row>
    <row r="46" spans="1:77" x14ac:dyDescent="0.5">
      <c r="A46" s="12"/>
      <c r="B46" s="59" t="s">
        <v>40</v>
      </c>
      <c r="C46" s="59"/>
      <c r="D46" s="59" t="e">
        <f t="shared" si="56"/>
        <v>#N/A</v>
      </c>
      <c r="E46" s="59" t="e">
        <f t="shared" si="56"/>
        <v>#N/A</v>
      </c>
      <c r="F46" s="59" t="e">
        <f t="shared" si="56"/>
        <v>#N/A</v>
      </c>
      <c r="G46" s="59" t="e">
        <f t="shared" si="56"/>
        <v>#N/A</v>
      </c>
      <c r="H46" s="59" t="e">
        <f t="shared" si="56"/>
        <v>#N/A</v>
      </c>
      <c r="I46" s="59" t="e">
        <f t="shared" si="56"/>
        <v>#N/A</v>
      </c>
      <c r="J46" s="59" t="e">
        <f t="shared" si="56"/>
        <v>#N/A</v>
      </c>
      <c r="K46" s="59" t="e">
        <f t="shared" si="56"/>
        <v>#N/A</v>
      </c>
      <c r="L46" s="59" t="e">
        <f t="shared" si="56"/>
        <v>#N/A</v>
      </c>
      <c r="M46" s="59" t="e">
        <f t="shared" si="56"/>
        <v>#N/A</v>
      </c>
      <c r="N46" s="59" t="e">
        <f t="shared" si="56"/>
        <v>#N/A</v>
      </c>
      <c r="O46" s="59" t="e">
        <f t="shared" si="56"/>
        <v>#N/A</v>
      </c>
      <c r="P46" s="59" t="e">
        <f t="shared" si="56"/>
        <v>#N/A</v>
      </c>
      <c r="Q46" s="59" t="e">
        <f t="shared" si="56"/>
        <v>#N/A</v>
      </c>
      <c r="R46" s="59" t="e">
        <f t="shared" si="56"/>
        <v>#N/A</v>
      </c>
      <c r="S46" s="12"/>
      <c r="T46" s="59" t="s">
        <v>98</v>
      </c>
      <c r="U46" s="59"/>
      <c r="V46" s="59" t="e">
        <f t="shared" si="57"/>
        <v>#N/A</v>
      </c>
      <c r="W46" s="59" t="e">
        <f t="shared" si="57"/>
        <v>#N/A</v>
      </c>
      <c r="X46" s="59" t="e">
        <f t="shared" si="57"/>
        <v>#N/A</v>
      </c>
      <c r="Y46" s="59" t="e">
        <f t="shared" si="57"/>
        <v>#N/A</v>
      </c>
      <c r="Z46" s="59" t="e">
        <f t="shared" si="57"/>
        <v>#N/A</v>
      </c>
      <c r="AA46" s="59" t="e">
        <f t="shared" si="57"/>
        <v>#N/A</v>
      </c>
      <c r="AB46" s="59" t="e">
        <f t="shared" si="57"/>
        <v>#N/A</v>
      </c>
      <c r="AC46" s="59" t="e">
        <f t="shared" si="57"/>
        <v>#N/A</v>
      </c>
      <c r="AD46" s="59" t="e">
        <f t="shared" si="57"/>
        <v>#N/A</v>
      </c>
      <c r="AE46" s="59" t="e">
        <f t="shared" si="57"/>
        <v>#N/A</v>
      </c>
      <c r="AF46" s="59" t="e">
        <f t="shared" si="57"/>
        <v>#N/A</v>
      </c>
      <c r="AG46" s="59" t="e">
        <f t="shared" si="57"/>
        <v>#N/A</v>
      </c>
      <c r="AH46" s="59" t="e">
        <f t="shared" si="57"/>
        <v>#N/A</v>
      </c>
      <c r="AI46" s="59" t="e">
        <f t="shared" si="57"/>
        <v>#N/A</v>
      </c>
      <c r="AJ46" s="59" t="e">
        <f t="shared" si="57"/>
        <v>#N/A</v>
      </c>
      <c r="AK46" s="12"/>
      <c r="AL46" s="12"/>
      <c r="AM46" s="12"/>
      <c r="AN46" s="12"/>
      <c r="AO46" s="12"/>
    </row>
    <row r="47" spans="1:77" x14ac:dyDescent="0.5">
      <c r="A47" s="12"/>
      <c r="B47" s="59" t="s">
        <v>41</v>
      </c>
      <c r="C47" s="59"/>
      <c r="D47" s="59" t="e">
        <f t="shared" si="56"/>
        <v>#N/A</v>
      </c>
      <c r="E47" s="59" t="e">
        <f t="shared" si="56"/>
        <v>#N/A</v>
      </c>
      <c r="F47" s="59" t="e">
        <f t="shared" si="56"/>
        <v>#N/A</v>
      </c>
      <c r="G47" s="59" t="e">
        <f t="shared" si="56"/>
        <v>#N/A</v>
      </c>
      <c r="H47" s="59" t="e">
        <f t="shared" si="56"/>
        <v>#N/A</v>
      </c>
      <c r="I47" s="59" t="e">
        <f t="shared" si="56"/>
        <v>#N/A</v>
      </c>
      <c r="J47" s="59" t="e">
        <f t="shared" si="56"/>
        <v>#N/A</v>
      </c>
      <c r="K47" s="59" t="e">
        <f t="shared" si="56"/>
        <v>#N/A</v>
      </c>
      <c r="L47" s="59" t="e">
        <f t="shared" si="56"/>
        <v>#N/A</v>
      </c>
      <c r="M47" s="59" t="e">
        <f t="shared" si="56"/>
        <v>#N/A</v>
      </c>
      <c r="N47" s="59" t="e">
        <f t="shared" si="56"/>
        <v>#N/A</v>
      </c>
      <c r="O47" s="59" t="e">
        <f t="shared" si="56"/>
        <v>#N/A</v>
      </c>
      <c r="P47" s="59" t="e">
        <f t="shared" si="56"/>
        <v>#N/A</v>
      </c>
      <c r="Q47" s="59" t="e">
        <f t="shared" si="56"/>
        <v>#N/A</v>
      </c>
      <c r="R47" s="59" t="e">
        <f t="shared" si="56"/>
        <v>#N/A</v>
      </c>
      <c r="S47" s="12"/>
      <c r="T47" s="59" t="s">
        <v>99</v>
      </c>
      <c r="U47" s="59"/>
      <c r="V47" s="59" t="e">
        <f t="shared" si="57"/>
        <v>#N/A</v>
      </c>
      <c r="W47" s="59" t="e">
        <f t="shared" si="57"/>
        <v>#N/A</v>
      </c>
      <c r="X47" s="59" t="e">
        <f t="shared" si="57"/>
        <v>#N/A</v>
      </c>
      <c r="Y47" s="59" t="e">
        <f t="shared" si="57"/>
        <v>#N/A</v>
      </c>
      <c r="Z47" s="59" t="e">
        <f t="shared" si="57"/>
        <v>#N/A</v>
      </c>
      <c r="AA47" s="59" t="e">
        <f t="shared" si="57"/>
        <v>#N/A</v>
      </c>
      <c r="AB47" s="59" t="e">
        <f t="shared" si="57"/>
        <v>#N/A</v>
      </c>
      <c r="AC47" s="59" t="e">
        <f t="shared" si="57"/>
        <v>#N/A</v>
      </c>
      <c r="AD47" s="59" t="e">
        <f t="shared" si="57"/>
        <v>#N/A</v>
      </c>
      <c r="AE47" s="59" t="e">
        <f t="shared" si="57"/>
        <v>#N/A</v>
      </c>
      <c r="AF47" s="59" t="e">
        <f t="shared" si="57"/>
        <v>#N/A</v>
      </c>
      <c r="AG47" s="59" t="e">
        <f t="shared" si="57"/>
        <v>#N/A</v>
      </c>
      <c r="AH47" s="59" t="e">
        <f t="shared" si="57"/>
        <v>#N/A</v>
      </c>
      <c r="AI47" s="59" t="e">
        <f t="shared" si="57"/>
        <v>#N/A</v>
      </c>
      <c r="AJ47" s="59" t="e">
        <f t="shared" si="57"/>
        <v>#N/A</v>
      </c>
      <c r="AK47" s="12"/>
      <c r="AL47" s="12"/>
      <c r="AM47" s="12"/>
      <c r="AN47" s="12"/>
      <c r="AO47" s="12"/>
      <c r="AP47" s="53" t="s">
        <v>47</v>
      </c>
      <c r="BI47" s="53" t="s">
        <v>47</v>
      </c>
    </row>
    <row r="48" spans="1:77" ht="15.3" x14ac:dyDescent="0.55000000000000004">
      <c r="A48" s="12"/>
      <c r="B48" s="12"/>
      <c r="C48" s="12"/>
      <c r="D48" s="12"/>
      <c r="E48" s="12"/>
      <c r="F48" s="12"/>
      <c r="G48" s="12"/>
      <c r="H48" s="105"/>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5" t="s">
        <v>23</v>
      </c>
      <c r="AQ48" s="59"/>
      <c r="AR48" s="63" t="str">
        <f t="shared" ref="AR48:BF48" si="60">IF(AR$45=1,AR9,"")</f>
        <v/>
      </c>
      <c r="AS48" s="63" t="str">
        <f t="shared" si="60"/>
        <v/>
      </c>
      <c r="AT48" s="63" t="str">
        <f t="shared" si="60"/>
        <v/>
      </c>
      <c r="AU48" s="63" t="str">
        <f t="shared" si="60"/>
        <v/>
      </c>
      <c r="AV48" s="63" t="str">
        <f t="shared" si="60"/>
        <v/>
      </c>
      <c r="AW48" s="63" t="str">
        <f t="shared" si="60"/>
        <v/>
      </c>
      <c r="AX48" s="63" t="str">
        <f t="shared" si="60"/>
        <v/>
      </c>
      <c r="AY48" s="63" t="str">
        <f t="shared" si="60"/>
        <v/>
      </c>
      <c r="AZ48" s="63" t="str">
        <f t="shared" si="60"/>
        <v/>
      </c>
      <c r="BA48" s="63" t="str">
        <f t="shared" si="60"/>
        <v/>
      </c>
      <c r="BB48" s="63" t="str">
        <f t="shared" si="60"/>
        <v/>
      </c>
      <c r="BC48" s="63" t="str">
        <f t="shared" si="60"/>
        <v/>
      </c>
      <c r="BD48" s="63" t="str">
        <f t="shared" si="60"/>
        <v/>
      </c>
      <c r="BE48" s="63" t="str">
        <f t="shared" si="60"/>
        <v/>
      </c>
      <c r="BF48" s="63" t="str">
        <f t="shared" si="60"/>
        <v/>
      </c>
      <c r="BI48" s="65" t="s">
        <v>23</v>
      </c>
      <c r="BJ48" s="59"/>
      <c r="BK48" s="63" t="e">
        <f t="shared" ref="BK48:BY50" si="61">IF(AR$45=1,AR9,NA())</f>
        <v>#N/A</v>
      </c>
      <c r="BL48" s="63" t="e">
        <f t="shared" si="61"/>
        <v>#N/A</v>
      </c>
      <c r="BM48" s="63" t="e">
        <f t="shared" si="61"/>
        <v>#N/A</v>
      </c>
      <c r="BN48" s="63" t="e">
        <f t="shared" si="61"/>
        <v>#N/A</v>
      </c>
      <c r="BO48" s="63" t="e">
        <f t="shared" si="61"/>
        <v>#N/A</v>
      </c>
      <c r="BP48" s="63" t="e">
        <f t="shared" si="61"/>
        <v>#N/A</v>
      </c>
      <c r="BQ48" s="63" t="e">
        <f t="shared" si="61"/>
        <v>#N/A</v>
      </c>
      <c r="BR48" s="63" t="e">
        <f t="shared" si="61"/>
        <v>#N/A</v>
      </c>
      <c r="BS48" s="63" t="e">
        <f t="shared" si="61"/>
        <v>#N/A</v>
      </c>
      <c r="BT48" s="63" t="e">
        <f t="shared" si="61"/>
        <v>#N/A</v>
      </c>
      <c r="BU48" s="63" t="e">
        <f t="shared" si="61"/>
        <v>#N/A</v>
      </c>
      <c r="BV48" s="63" t="e">
        <f t="shared" si="61"/>
        <v>#N/A</v>
      </c>
      <c r="BW48" s="63" t="e">
        <f t="shared" si="61"/>
        <v>#N/A</v>
      </c>
      <c r="BX48" s="63" t="e">
        <f t="shared" si="61"/>
        <v>#N/A</v>
      </c>
      <c r="BY48" s="63" t="e">
        <f t="shared" si="61"/>
        <v>#N/A</v>
      </c>
    </row>
    <row r="49" spans="1:77" x14ac:dyDescent="0.5">
      <c r="A49" s="12"/>
      <c r="B49" s="67" t="s">
        <v>42</v>
      </c>
      <c r="C49" s="59"/>
      <c r="D49" s="59" t="e">
        <f t="shared" ref="D49:R51" si="62">IF($Z$64=1,BK30,IF($Z$64=2,BK61,IF($Z$64=3,BK95,IF($Z$64=4,BK140,IF($Z$64=5,BK199)))))</f>
        <v>#N/A</v>
      </c>
      <c r="E49" s="59" t="e">
        <f t="shared" si="62"/>
        <v>#N/A</v>
      </c>
      <c r="F49" s="59" t="e">
        <f t="shared" si="62"/>
        <v>#N/A</v>
      </c>
      <c r="G49" s="59" t="e">
        <f t="shared" si="62"/>
        <v>#N/A</v>
      </c>
      <c r="H49" s="59" t="e">
        <f t="shared" si="62"/>
        <v>#N/A</v>
      </c>
      <c r="I49" s="59" t="e">
        <f t="shared" si="62"/>
        <v>#N/A</v>
      </c>
      <c r="J49" s="59" t="e">
        <f t="shared" si="62"/>
        <v>#N/A</v>
      </c>
      <c r="K49" s="59" t="e">
        <f t="shared" si="62"/>
        <v>#N/A</v>
      </c>
      <c r="L49" s="59" t="e">
        <f t="shared" si="62"/>
        <v>#N/A</v>
      </c>
      <c r="M49" s="59" t="e">
        <f t="shared" si="62"/>
        <v>#N/A</v>
      </c>
      <c r="N49" s="59" t="e">
        <f t="shared" si="62"/>
        <v>#N/A</v>
      </c>
      <c r="O49" s="59" t="e">
        <f t="shared" si="62"/>
        <v>#N/A</v>
      </c>
      <c r="P49" s="59" t="e">
        <f t="shared" si="62"/>
        <v>#N/A</v>
      </c>
      <c r="Q49" s="59" t="e">
        <f t="shared" si="62"/>
        <v>#N/A</v>
      </c>
      <c r="R49" s="59" t="e">
        <f t="shared" si="62"/>
        <v>#N/A</v>
      </c>
      <c r="S49" s="12"/>
      <c r="T49" s="59" t="s">
        <v>100</v>
      </c>
      <c r="U49" s="59"/>
      <c r="V49" s="59" t="e">
        <f t="shared" ref="V49:AJ51" si="63">_xlfn.IFNA(D49/$U$67*100,NA())</f>
        <v>#N/A</v>
      </c>
      <c r="W49" s="59" t="e">
        <f t="shared" si="63"/>
        <v>#N/A</v>
      </c>
      <c r="X49" s="59" t="e">
        <f t="shared" si="63"/>
        <v>#N/A</v>
      </c>
      <c r="Y49" s="59" t="e">
        <f t="shared" si="63"/>
        <v>#N/A</v>
      </c>
      <c r="Z49" s="59" t="e">
        <f t="shared" si="63"/>
        <v>#N/A</v>
      </c>
      <c r="AA49" s="59" t="e">
        <f t="shared" si="63"/>
        <v>#N/A</v>
      </c>
      <c r="AB49" s="59" t="e">
        <f t="shared" si="63"/>
        <v>#N/A</v>
      </c>
      <c r="AC49" s="59" t="e">
        <f t="shared" si="63"/>
        <v>#N/A</v>
      </c>
      <c r="AD49" s="59" t="e">
        <f t="shared" si="63"/>
        <v>#N/A</v>
      </c>
      <c r="AE49" s="59" t="e">
        <f t="shared" si="63"/>
        <v>#N/A</v>
      </c>
      <c r="AF49" s="59" t="e">
        <f t="shared" si="63"/>
        <v>#N/A</v>
      </c>
      <c r="AG49" s="59" t="e">
        <f t="shared" si="63"/>
        <v>#N/A</v>
      </c>
      <c r="AH49" s="59" t="e">
        <f t="shared" si="63"/>
        <v>#N/A</v>
      </c>
      <c r="AI49" s="59" t="e">
        <f t="shared" si="63"/>
        <v>#N/A</v>
      </c>
      <c r="AJ49" s="59" t="e">
        <f t="shared" si="63"/>
        <v>#N/A</v>
      </c>
      <c r="AK49" s="12"/>
      <c r="AL49" s="12"/>
      <c r="AM49" s="12"/>
      <c r="AN49" s="12"/>
      <c r="AO49" s="12"/>
      <c r="AP49" s="67" t="s">
        <v>18</v>
      </c>
      <c r="AQ49" s="59"/>
      <c r="AR49" s="63" t="str">
        <f t="shared" ref="AR49:BF49" si="64">IF(AR$45=1,AR10,"")</f>
        <v/>
      </c>
      <c r="AS49" s="63" t="str">
        <f t="shared" si="64"/>
        <v/>
      </c>
      <c r="AT49" s="63" t="str">
        <f t="shared" si="64"/>
        <v/>
      </c>
      <c r="AU49" s="63" t="str">
        <f t="shared" si="64"/>
        <v/>
      </c>
      <c r="AV49" s="63" t="str">
        <f t="shared" si="64"/>
        <v/>
      </c>
      <c r="AW49" s="63" t="str">
        <f t="shared" si="64"/>
        <v/>
      </c>
      <c r="AX49" s="63" t="str">
        <f t="shared" si="64"/>
        <v/>
      </c>
      <c r="AY49" s="63" t="str">
        <f t="shared" si="64"/>
        <v/>
      </c>
      <c r="AZ49" s="63" t="str">
        <f t="shared" si="64"/>
        <v/>
      </c>
      <c r="BA49" s="63" t="str">
        <f t="shared" si="64"/>
        <v/>
      </c>
      <c r="BB49" s="63" t="str">
        <f t="shared" si="64"/>
        <v/>
      </c>
      <c r="BC49" s="63" t="str">
        <f t="shared" si="64"/>
        <v/>
      </c>
      <c r="BD49" s="63" t="str">
        <f t="shared" si="64"/>
        <v/>
      </c>
      <c r="BE49" s="63" t="str">
        <f t="shared" si="64"/>
        <v/>
      </c>
      <c r="BF49" s="63" t="str">
        <f t="shared" si="64"/>
        <v/>
      </c>
      <c r="BI49" s="67" t="s">
        <v>18</v>
      </c>
      <c r="BJ49" s="59"/>
      <c r="BK49" s="63" t="e">
        <f t="shared" si="61"/>
        <v>#N/A</v>
      </c>
      <c r="BL49" s="63" t="e">
        <f t="shared" si="61"/>
        <v>#N/A</v>
      </c>
      <c r="BM49" s="63" t="e">
        <f t="shared" si="61"/>
        <v>#N/A</v>
      </c>
      <c r="BN49" s="63" t="e">
        <f t="shared" si="61"/>
        <v>#N/A</v>
      </c>
      <c r="BO49" s="63" t="e">
        <f t="shared" si="61"/>
        <v>#N/A</v>
      </c>
      <c r="BP49" s="63" t="e">
        <f t="shared" si="61"/>
        <v>#N/A</v>
      </c>
      <c r="BQ49" s="63" t="e">
        <f t="shared" si="61"/>
        <v>#N/A</v>
      </c>
      <c r="BR49" s="63" t="e">
        <f t="shared" si="61"/>
        <v>#N/A</v>
      </c>
      <c r="BS49" s="63" t="e">
        <f t="shared" si="61"/>
        <v>#N/A</v>
      </c>
      <c r="BT49" s="63" t="e">
        <f t="shared" si="61"/>
        <v>#N/A</v>
      </c>
      <c r="BU49" s="63" t="e">
        <f t="shared" si="61"/>
        <v>#N/A</v>
      </c>
      <c r="BV49" s="63" t="e">
        <f t="shared" si="61"/>
        <v>#N/A</v>
      </c>
      <c r="BW49" s="63" t="e">
        <f t="shared" si="61"/>
        <v>#N/A</v>
      </c>
      <c r="BX49" s="63" t="e">
        <f t="shared" si="61"/>
        <v>#N/A</v>
      </c>
      <c r="BY49" s="63" t="e">
        <f t="shared" si="61"/>
        <v>#N/A</v>
      </c>
    </row>
    <row r="50" spans="1:77" x14ac:dyDescent="0.5">
      <c r="A50" s="12"/>
      <c r="B50" s="59" t="s">
        <v>45</v>
      </c>
      <c r="C50" s="59"/>
      <c r="D50" s="59" t="e">
        <f t="shared" si="62"/>
        <v>#N/A</v>
      </c>
      <c r="E50" s="59" t="e">
        <f t="shared" si="62"/>
        <v>#N/A</v>
      </c>
      <c r="F50" s="59" t="e">
        <f t="shared" si="62"/>
        <v>#N/A</v>
      </c>
      <c r="G50" s="59" t="e">
        <f t="shared" si="62"/>
        <v>#N/A</v>
      </c>
      <c r="H50" s="59" t="e">
        <f t="shared" si="62"/>
        <v>#N/A</v>
      </c>
      <c r="I50" s="59" t="e">
        <f t="shared" si="62"/>
        <v>#N/A</v>
      </c>
      <c r="J50" s="59" t="e">
        <f t="shared" si="62"/>
        <v>#N/A</v>
      </c>
      <c r="K50" s="59" t="e">
        <f t="shared" si="62"/>
        <v>#N/A</v>
      </c>
      <c r="L50" s="59" t="e">
        <f t="shared" si="62"/>
        <v>#N/A</v>
      </c>
      <c r="M50" s="59" t="e">
        <f t="shared" si="62"/>
        <v>#N/A</v>
      </c>
      <c r="N50" s="59" t="e">
        <f t="shared" si="62"/>
        <v>#N/A</v>
      </c>
      <c r="O50" s="59" t="e">
        <f t="shared" si="62"/>
        <v>#N/A</v>
      </c>
      <c r="P50" s="59" t="e">
        <f t="shared" si="62"/>
        <v>#N/A</v>
      </c>
      <c r="Q50" s="59" t="e">
        <f t="shared" si="62"/>
        <v>#N/A</v>
      </c>
      <c r="R50" s="59" t="e">
        <f t="shared" si="62"/>
        <v>#N/A</v>
      </c>
      <c r="S50" s="12"/>
      <c r="T50" s="59" t="s">
        <v>101</v>
      </c>
      <c r="U50" s="59"/>
      <c r="V50" s="59" t="e">
        <f t="shared" si="63"/>
        <v>#N/A</v>
      </c>
      <c r="W50" s="59" t="e">
        <f t="shared" si="63"/>
        <v>#N/A</v>
      </c>
      <c r="X50" s="59" t="e">
        <f t="shared" si="63"/>
        <v>#N/A</v>
      </c>
      <c r="Y50" s="59" t="e">
        <f t="shared" si="63"/>
        <v>#N/A</v>
      </c>
      <c r="Z50" s="59" t="e">
        <f t="shared" si="63"/>
        <v>#N/A</v>
      </c>
      <c r="AA50" s="59" t="e">
        <f t="shared" si="63"/>
        <v>#N/A</v>
      </c>
      <c r="AB50" s="59" t="e">
        <f t="shared" si="63"/>
        <v>#N/A</v>
      </c>
      <c r="AC50" s="59" t="e">
        <f t="shared" si="63"/>
        <v>#N/A</v>
      </c>
      <c r="AD50" s="59" t="e">
        <f t="shared" si="63"/>
        <v>#N/A</v>
      </c>
      <c r="AE50" s="59" t="e">
        <f t="shared" si="63"/>
        <v>#N/A</v>
      </c>
      <c r="AF50" s="59" t="e">
        <f t="shared" si="63"/>
        <v>#N/A</v>
      </c>
      <c r="AG50" s="59" t="e">
        <f t="shared" si="63"/>
        <v>#N/A</v>
      </c>
      <c r="AH50" s="59" t="e">
        <f t="shared" si="63"/>
        <v>#N/A</v>
      </c>
      <c r="AI50" s="59" t="e">
        <f t="shared" si="63"/>
        <v>#N/A</v>
      </c>
      <c r="AJ50" s="59" t="e">
        <f t="shared" si="63"/>
        <v>#N/A</v>
      </c>
      <c r="AK50" s="12"/>
      <c r="AL50" s="12"/>
      <c r="AM50" s="12"/>
      <c r="AN50" s="12"/>
      <c r="AO50" s="12"/>
      <c r="AP50" s="67" t="s">
        <v>0</v>
      </c>
      <c r="AQ50" s="59"/>
      <c r="AR50" s="63" t="str">
        <f t="shared" ref="AR50:BF50" si="65">IF(AR$45=1,AR11,"")</f>
        <v/>
      </c>
      <c r="AS50" s="63" t="str">
        <f t="shared" si="65"/>
        <v/>
      </c>
      <c r="AT50" s="63" t="str">
        <f t="shared" si="65"/>
        <v/>
      </c>
      <c r="AU50" s="63" t="str">
        <f t="shared" si="65"/>
        <v/>
      </c>
      <c r="AV50" s="63" t="str">
        <f t="shared" si="65"/>
        <v/>
      </c>
      <c r="AW50" s="63" t="str">
        <f t="shared" si="65"/>
        <v/>
      </c>
      <c r="AX50" s="63" t="str">
        <f t="shared" si="65"/>
        <v/>
      </c>
      <c r="AY50" s="63" t="str">
        <f t="shared" si="65"/>
        <v/>
      </c>
      <c r="AZ50" s="63" t="str">
        <f t="shared" si="65"/>
        <v/>
      </c>
      <c r="BA50" s="63" t="str">
        <f t="shared" si="65"/>
        <v/>
      </c>
      <c r="BB50" s="63" t="str">
        <f t="shared" si="65"/>
        <v/>
      </c>
      <c r="BC50" s="63" t="str">
        <f t="shared" si="65"/>
        <v/>
      </c>
      <c r="BD50" s="63" t="str">
        <f t="shared" si="65"/>
        <v/>
      </c>
      <c r="BE50" s="63" t="str">
        <f t="shared" si="65"/>
        <v/>
      </c>
      <c r="BF50" s="63" t="str">
        <f t="shared" si="65"/>
        <v/>
      </c>
      <c r="BI50" s="67" t="s">
        <v>0</v>
      </c>
      <c r="BJ50" s="59"/>
      <c r="BK50" s="63" t="e">
        <f t="shared" si="61"/>
        <v>#N/A</v>
      </c>
      <c r="BL50" s="63" t="e">
        <f t="shared" si="61"/>
        <v>#N/A</v>
      </c>
      <c r="BM50" s="63" t="e">
        <f t="shared" si="61"/>
        <v>#N/A</v>
      </c>
      <c r="BN50" s="63" t="e">
        <f t="shared" si="61"/>
        <v>#N/A</v>
      </c>
      <c r="BO50" s="63" t="e">
        <f t="shared" si="61"/>
        <v>#N/A</v>
      </c>
      <c r="BP50" s="63" t="e">
        <f t="shared" si="61"/>
        <v>#N/A</v>
      </c>
      <c r="BQ50" s="63" t="e">
        <f t="shared" si="61"/>
        <v>#N/A</v>
      </c>
      <c r="BR50" s="63" t="e">
        <f t="shared" si="61"/>
        <v>#N/A</v>
      </c>
      <c r="BS50" s="63" t="e">
        <f t="shared" si="61"/>
        <v>#N/A</v>
      </c>
      <c r="BT50" s="63" t="e">
        <f t="shared" si="61"/>
        <v>#N/A</v>
      </c>
      <c r="BU50" s="63" t="e">
        <f t="shared" si="61"/>
        <v>#N/A</v>
      </c>
      <c r="BV50" s="63" t="e">
        <f t="shared" si="61"/>
        <v>#N/A</v>
      </c>
      <c r="BW50" s="63" t="e">
        <f t="shared" si="61"/>
        <v>#N/A</v>
      </c>
      <c r="BX50" s="63" t="e">
        <f t="shared" si="61"/>
        <v>#N/A</v>
      </c>
      <c r="BY50" s="63" t="e">
        <f t="shared" si="61"/>
        <v>#N/A</v>
      </c>
    </row>
    <row r="51" spans="1:77" x14ac:dyDescent="0.5">
      <c r="B51" s="59" t="s">
        <v>46</v>
      </c>
      <c r="C51" s="59"/>
      <c r="D51" s="59" t="e">
        <f t="shared" si="62"/>
        <v>#N/A</v>
      </c>
      <c r="E51" s="59" t="e">
        <f t="shared" si="62"/>
        <v>#N/A</v>
      </c>
      <c r="F51" s="59" t="e">
        <f t="shared" si="62"/>
        <v>#N/A</v>
      </c>
      <c r="G51" s="59" t="e">
        <f t="shared" si="62"/>
        <v>#N/A</v>
      </c>
      <c r="H51" s="59" t="e">
        <f t="shared" si="62"/>
        <v>#N/A</v>
      </c>
      <c r="I51" s="59" t="e">
        <f t="shared" si="62"/>
        <v>#N/A</v>
      </c>
      <c r="J51" s="59" t="e">
        <f t="shared" si="62"/>
        <v>#N/A</v>
      </c>
      <c r="K51" s="59" t="e">
        <f t="shared" si="62"/>
        <v>#N/A</v>
      </c>
      <c r="L51" s="59" t="e">
        <f t="shared" si="62"/>
        <v>#N/A</v>
      </c>
      <c r="M51" s="59" t="e">
        <f t="shared" si="62"/>
        <v>#N/A</v>
      </c>
      <c r="N51" s="59" t="e">
        <f t="shared" si="62"/>
        <v>#N/A</v>
      </c>
      <c r="O51" s="59" t="e">
        <f t="shared" si="62"/>
        <v>#N/A</v>
      </c>
      <c r="P51" s="59" t="e">
        <f t="shared" si="62"/>
        <v>#N/A</v>
      </c>
      <c r="Q51" s="59" t="e">
        <f t="shared" si="62"/>
        <v>#N/A</v>
      </c>
      <c r="R51" s="59" t="e">
        <f t="shared" si="62"/>
        <v>#N/A</v>
      </c>
      <c r="T51" s="59" t="s">
        <v>102</v>
      </c>
      <c r="U51" s="59"/>
      <c r="V51" s="59" t="e">
        <f t="shared" si="63"/>
        <v>#N/A</v>
      </c>
      <c r="W51" s="59" t="e">
        <f t="shared" si="63"/>
        <v>#N/A</v>
      </c>
      <c r="X51" s="59" t="e">
        <f t="shared" si="63"/>
        <v>#N/A</v>
      </c>
      <c r="Y51" s="59" t="e">
        <f t="shared" si="63"/>
        <v>#N/A</v>
      </c>
      <c r="Z51" s="59" t="e">
        <f t="shared" si="63"/>
        <v>#N/A</v>
      </c>
      <c r="AA51" s="59" t="e">
        <f t="shared" si="63"/>
        <v>#N/A</v>
      </c>
      <c r="AB51" s="59" t="e">
        <f t="shared" si="63"/>
        <v>#N/A</v>
      </c>
      <c r="AC51" s="59" t="e">
        <f t="shared" si="63"/>
        <v>#N/A</v>
      </c>
      <c r="AD51" s="59" t="e">
        <f t="shared" si="63"/>
        <v>#N/A</v>
      </c>
      <c r="AE51" s="59" t="e">
        <f t="shared" si="63"/>
        <v>#N/A</v>
      </c>
      <c r="AF51" s="59" t="e">
        <f t="shared" si="63"/>
        <v>#N/A</v>
      </c>
      <c r="AG51" s="59" t="e">
        <f t="shared" si="63"/>
        <v>#N/A</v>
      </c>
      <c r="AH51" s="59" t="e">
        <f t="shared" si="63"/>
        <v>#N/A</v>
      </c>
      <c r="AI51" s="59" t="e">
        <f t="shared" si="63"/>
        <v>#N/A</v>
      </c>
      <c r="AJ51" s="59" t="e">
        <f t="shared" si="63"/>
        <v>#N/A</v>
      </c>
      <c r="AO51" s="12"/>
    </row>
    <row r="52" spans="1:77" x14ac:dyDescent="0.5">
      <c r="O52" s="17"/>
      <c r="Z52" s="12"/>
      <c r="AO52" s="12"/>
      <c r="AP52" s="79" t="s">
        <v>36</v>
      </c>
      <c r="AQ52" s="65" t="s">
        <v>37</v>
      </c>
      <c r="AR52" s="66" t="e">
        <f>SLOPE(AR48:BF48,AR49:BF49)</f>
        <v>#DIV/0!</v>
      </c>
      <c r="AS52" s="75"/>
      <c r="AT52" s="75"/>
      <c r="AU52" s="75"/>
      <c r="AV52" s="75"/>
      <c r="BI52" s="53"/>
    </row>
    <row r="53" spans="1:77" x14ac:dyDescent="0.5">
      <c r="B53" s="53" t="s">
        <v>138</v>
      </c>
      <c r="O53" s="17"/>
      <c r="R53" s="12"/>
      <c r="Z53" s="12"/>
      <c r="AP53" s="59"/>
      <c r="AQ53" s="65" t="s">
        <v>38</v>
      </c>
      <c r="AR53" s="66" t="e">
        <f>INTERCEPT(AR48:BF48,AR49:BF49)</f>
        <v>#DIV/0!</v>
      </c>
      <c r="AS53" s="75"/>
      <c r="AT53" s="75"/>
      <c r="AU53" s="75"/>
      <c r="AV53" s="75"/>
    </row>
    <row r="54" spans="1:77" x14ac:dyDescent="0.5">
      <c r="B54" s="59" t="s">
        <v>23</v>
      </c>
      <c r="C54" s="59"/>
      <c r="D54" s="59" t="e">
        <f t="shared" ref="D54:R56" si="66">IF($Z$64=1,BK34,IF($Z$64=2,BK66,IF($Z$64=3,BK100,IF($Z$64=4,BK145,IF($Z$64=5,BK204)))))</f>
        <v>#N/A</v>
      </c>
      <c r="E54" s="59" t="e">
        <f t="shared" si="66"/>
        <v>#N/A</v>
      </c>
      <c r="F54" s="59" t="e">
        <f t="shared" si="66"/>
        <v>#N/A</v>
      </c>
      <c r="G54" s="59" t="e">
        <f t="shared" si="66"/>
        <v>#N/A</v>
      </c>
      <c r="H54" s="59" t="e">
        <f t="shared" si="66"/>
        <v>#N/A</v>
      </c>
      <c r="I54" s="59" t="e">
        <f t="shared" si="66"/>
        <v>#N/A</v>
      </c>
      <c r="J54" s="59" t="e">
        <f t="shared" si="66"/>
        <v>#N/A</v>
      </c>
      <c r="K54" s="59" t="e">
        <f t="shared" si="66"/>
        <v>#N/A</v>
      </c>
      <c r="L54" s="59" t="e">
        <f t="shared" si="66"/>
        <v>#N/A</v>
      </c>
      <c r="M54" s="59" t="e">
        <f t="shared" si="66"/>
        <v>#N/A</v>
      </c>
      <c r="N54" s="59" t="e">
        <f t="shared" si="66"/>
        <v>#N/A</v>
      </c>
      <c r="O54" s="59" t="e">
        <f t="shared" si="66"/>
        <v>#N/A</v>
      </c>
      <c r="P54" s="59" t="e">
        <f t="shared" si="66"/>
        <v>#N/A</v>
      </c>
      <c r="Q54" s="59" t="e">
        <f t="shared" si="66"/>
        <v>#N/A</v>
      </c>
      <c r="R54" s="59" t="e">
        <f t="shared" si="66"/>
        <v>#N/A</v>
      </c>
      <c r="T54" s="59" t="s">
        <v>21</v>
      </c>
      <c r="U54" s="59"/>
      <c r="V54" s="59" t="e">
        <f t="shared" ref="V54:AJ54" si="67">_xlfn.IFNA(D54/$U$64*100,NA())</f>
        <v>#N/A</v>
      </c>
      <c r="W54" s="59" t="e">
        <f t="shared" si="67"/>
        <v>#N/A</v>
      </c>
      <c r="X54" s="59" t="e">
        <f t="shared" si="67"/>
        <v>#N/A</v>
      </c>
      <c r="Y54" s="59" t="e">
        <f t="shared" si="67"/>
        <v>#N/A</v>
      </c>
      <c r="Z54" s="59" t="e">
        <f t="shared" si="67"/>
        <v>#N/A</v>
      </c>
      <c r="AA54" s="59" t="e">
        <f t="shared" si="67"/>
        <v>#N/A</v>
      </c>
      <c r="AB54" s="59" t="e">
        <f t="shared" si="67"/>
        <v>#N/A</v>
      </c>
      <c r="AC54" s="59" t="e">
        <f t="shared" si="67"/>
        <v>#N/A</v>
      </c>
      <c r="AD54" s="59" t="e">
        <f t="shared" si="67"/>
        <v>#N/A</v>
      </c>
      <c r="AE54" s="59" t="e">
        <f t="shared" si="67"/>
        <v>#N/A</v>
      </c>
      <c r="AF54" s="59" t="e">
        <f t="shared" si="67"/>
        <v>#N/A</v>
      </c>
      <c r="AG54" s="59" t="e">
        <f t="shared" si="67"/>
        <v>#N/A</v>
      </c>
      <c r="AH54" s="59" t="e">
        <f t="shared" si="67"/>
        <v>#N/A</v>
      </c>
      <c r="AI54" s="59" t="e">
        <f t="shared" si="67"/>
        <v>#N/A</v>
      </c>
      <c r="AJ54" s="59" t="e">
        <f t="shared" si="67"/>
        <v>#N/A</v>
      </c>
      <c r="AP54" s="59"/>
      <c r="AQ54" s="65" t="s">
        <v>39</v>
      </c>
      <c r="AR54" s="66" t="e">
        <f>RSQ(AR71:BF71,AR72:BF72)</f>
        <v>#DIV/0!</v>
      </c>
      <c r="AS54" s="66" t="s">
        <v>85</v>
      </c>
      <c r="AT54" s="66" t="e">
        <f>STEYX(AR71:BF71,AR72:BF72)</f>
        <v>#DIV/0!</v>
      </c>
      <c r="AU54" s="66" t="s">
        <v>80</v>
      </c>
      <c r="AV54" s="66">
        <f>SQRT(SUM(AR73:BF73)/(COUNT(AR73:BF73)-2))</f>
        <v>0</v>
      </c>
    </row>
    <row r="55" spans="1:77" x14ac:dyDescent="0.5">
      <c r="B55" s="59" t="s">
        <v>7</v>
      </c>
      <c r="C55" s="59"/>
      <c r="D55" s="59" t="e">
        <f t="shared" si="66"/>
        <v>#N/A</v>
      </c>
      <c r="E55" s="59" t="e">
        <f t="shared" si="66"/>
        <v>#N/A</v>
      </c>
      <c r="F55" s="59" t="e">
        <f t="shared" si="66"/>
        <v>#N/A</v>
      </c>
      <c r="G55" s="59" t="e">
        <f t="shared" si="66"/>
        <v>#N/A</v>
      </c>
      <c r="H55" s="59" t="e">
        <f t="shared" si="66"/>
        <v>#N/A</v>
      </c>
      <c r="I55" s="59" t="e">
        <f t="shared" si="66"/>
        <v>#N/A</v>
      </c>
      <c r="J55" s="59" t="e">
        <f t="shared" si="66"/>
        <v>#N/A</v>
      </c>
      <c r="K55" s="59" t="e">
        <f t="shared" si="66"/>
        <v>#N/A</v>
      </c>
      <c r="L55" s="59" t="e">
        <f t="shared" si="66"/>
        <v>#N/A</v>
      </c>
      <c r="M55" s="59" t="e">
        <f t="shared" si="66"/>
        <v>#N/A</v>
      </c>
      <c r="N55" s="59" t="e">
        <f t="shared" si="66"/>
        <v>#N/A</v>
      </c>
      <c r="O55" s="59" t="e">
        <f t="shared" si="66"/>
        <v>#N/A</v>
      </c>
      <c r="P55" s="59" t="e">
        <f t="shared" si="66"/>
        <v>#N/A</v>
      </c>
      <c r="Q55" s="59" t="e">
        <f t="shared" si="66"/>
        <v>#N/A</v>
      </c>
      <c r="R55" s="59" t="e">
        <f t="shared" si="66"/>
        <v>#N/A</v>
      </c>
      <c r="T55" s="59" t="s">
        <v>95</v>
      </c>
      <c r="U55" s="59"/>
      <c r="V55" s="59" t="e">
        <f t="shared" ref="V55:AJ55" si="68">_xlfn.IFNA(D55/$U$66*100,NA())</f>
        <v>#N/A</v>
      </c>
      <c r="W55" s="59" t="e">
        <f t="shared" si="68"/>
        <v>#N/A</v>
      </c>
      <c r="X55" s="59" t="e">
        <f t="shared" si="68"/>
        <v>#N/A</v>
      </c>
      <c r="Y55" s="59" t="e">
        <f t="shared" si="68"/>
        <v>#N/A</v>
      </c>
      <c r="Z55" s="59" t="e">
        <f t="shared" si="68"/>
        <v>#N/A</v>
      </c>
      <c r="AA55" s="59" t="e">
        <f t="shared" si="68"/>
        <v>#N/A</v>
      </c>
      <c r="AB55" s="59" t="e">
        <f t="shared" si="68"/>
        <v>#N/A</v>
      </c>
      <c r="AC55" s="59" t="e">
        <f t="shared" si="68"/>
        <v>#N/A</v>
      </c>
      <c r="AD55" s="59" t="e">
        <f t="shared" si="68"/>
        <v>#N/A</v>
      </c>
      <c r="AE55" s="59" t="e">
        <f t="shared" si="68"/>
        <v>#N/A</v>
      </c>
      <c r="AF55" s="59" t="e">
        <f t="shared" si="68"/>
        <v>#N/A</v>
      </c>
      <c r="AG55" s="59" t="e">
        <f t="shared" si="68"/>
        <v>#N/A</v>
      </c>
      <c r="AH55" s="59" t="e">
        <f t="shared" si="68"/>
        <v>#N/A</v>
      </c>
      <c r="AI55" s="59" t="e">
        <f t="shared" si="68"/>
        <v>#N/A</v>
      </c>
      <c r="AJ55" s="59" t="e">
        <f t="shared" si="68"/>
        <v>#N/A</v>
      </c>
      <c r="AO55" s="12"/>
    </row>
    <row r="56" spans="1:77" x14ac:dyDescent="0.5">
      <c r="B56" s="59" t="s">
        <v>8</v>
      </c>
      <c r="C56" s="59"/>
      <c r="D56" s="59" t="e">
        <f t="shared" si="66"/>
        <v>#N/A</v>
      </c>
      <c r="E56" s="59" t="e">
        <f t="shared" si="66"/>
        <v>#N/A</v>
      </c>
      <c r="F56" s="59" t="e">
        <f t="shared" si="66"/>
        <v>#N/A</v>
      </c>
      <c r="G56" s="59" t="e">
        <f t="shared" si="66"/>
        <v>#N/A</v>
      </c>
      <c r="H56" s="59" t="e">
        <f t="shared" si="66"/>
        <v>#N/A</v>
      </c>
      <c r="I56" s="59" t="e">
        <f t="shared" si="66"/>
        <v>#N/A</v>
      </c>
      <c r="J56" s="59" t="e">
        <f t="shared" si="66"/>
        <v>#N/A</v>
      </c>
      <c r="K56" s="59" t="e">
        <f t="shared" si="66"/>
        <v>#N/A</v>
      </c>
      <c r="L56" s="59" t="e">
        <f t="shared" si="66"/>
        <v>#N/A</v>
      </c>
      <c r="M56" s="59" t="e">
        <f t="shared" si="66"/>
        <v>#N/A</v>
      </c>
      <c r="N56" s="59" t="e">
        <f t="shared" si="66"/>
        <v>#N/A</v>
      </c>
      <c r="O56" s="59" t="e">
        <f t="shared" si="66"/>
        <v>#N/A</v>
      </c>
      <c r="P56" s="59" t="e">
        <f t="shared" si="66"/>
        <v>#N/A</v>
      </c>
      <c r="Q56" s="59" t="e">
        <f t="shared" si="66"/>
        <v>#N/A</v>
      </c>
      <c r="R56" s="59" t="e">
        <f t="shared" si="66"/>
        <v>#N/A</v>
      </c>
      <c r="T56" s="59" t="s">
        <v>96</v>
      </c>
      <c r="U56" s="59"/>
      <c r="V56" s="59" t="e">
        <f t="shared" ref="V56:AJ56" si="69">_xlfn.IFNA(D56/$U$67*100,NA())</f>
        <v>#N/A</v>
      </c>
      <c r="W56" s="59" t="e">
        <f t="shared" si="69"/>
        <v>#N/A</v>
      </c>
      <c r="X56" s="59" t="e">
        <f t="shared" si="69"/>
        <v>#N/A</v>
      </c>
      <c r="Y56" s="59" t="e">
        <f t="shared" si="69"/>
        <v>#N/A</v>
      </c>
      <c r="Z56" s="59" t="e">
        <f t="shared" si="69"/>
        <v>#N/A</v>
      </c>
      <c r="AA56" s="59" t="e">
        <f t="shared" si="69"/>
        <v>#N/A</v>
      </c>
      <c r="AB56" s="59" t="e">
        <f t="shared" si="69"/>
        <v>#N/A</v>
      </c>
      <c r="AC56" s="59" t="e">
        <f t="shared" si="69"/>
        <v>#N/A</v>
      </c>
      <c r="AD56" s="59" t="e">
        <f t="shared" si="69"/>
        <v>#N/A</v>
      </c>
      <c r="AE56" s="59" t="e">
        <f t="shared" si="69"/>
        <v>#N/A</v>
      </c>
      <c r="AF56" s="59" t="e">
        <f t="shared" si="69"/>
        <v>#N/A</v>
      </c>
      <c r="AG56" s="59" t="e">
        <f t="shared" si="69"/>
        <v>#N/A</v>
      </c>
      <c r="AH56" s="59" t="e">
        <f t="shared" si="69"/>
        <v>#N/A</v>
      </c>
      <c r="AI56" s="59" t="e">
        <f t="shared" si="69"/>
        <v>#N/A</v>
      </c>
      <c r="AJ56" s="59" t="e">
        <f t="shared" si="69"/>
        <v>#N/A</v>
      </c>
      <c r="AO56" s="12"/>
      <c r="AP56" s="53" t="s">
        <v>48</v>
      </c>
      <c r="BI56" s="53" t="s">
        <v>48</v>
      </c>
    </row>
    <row r="57" spans="1:77" x14ac:dyDescent="0.5">
      <c r="O57" s="17"/>
      <c r="Z57" s="12"/>
      <c r="AO57" s="12"/>
      <c r="AP57" s="67" t="s">
        <v>20</v>
      </c>
      <c r="AQ57" s="67"/>
      <c r="AR57" s="63" t="str">
        <f t="shared" ref="AR57:BF57" si="70">IF(AR9="","",((AR9-$AR$53)/$AR$52))</f>
        <v/>
      </c>
      <c r="AS57" s="63" t="str">
        <f t="shared" si="70"/>
        <v/>
      </c>
      <c r="AT57" s="63" t="str">
        <f t="shared" si="70"/>
        <v/>
      </c>
      <c r="AU57" s="63" t="str">
        <f t="shared" si="70"/>
        <v/>
      </c>
      <c r="AV57" s="63" t="str">
        <f t="shared" si="70"/>
        <v/>
      </c>
      <c r="AW57" s="63" t="str">
        <f t="shared" si="70"/>
        <v/>
      </c>
      <c r="AX57" s="63" t="str">
        <f t="shared" si="70"/>
        <v/>
      </c>
      <c r="AY57" s="63" t="str">
        <f t="shared" si="70"/>
        <v/>
      </c>
      <c r="AZ57" s="63" t="str">
        <f t="shared" si="70"/>
        <v/>
      </c>
      <c r="BA57" s="63" t="str">
        <f t="shared" si="70"/>
        <v/>
      </c>
      <c r="BB57" s="63" t="str">
        <f t="shared" si="70"/>
        <v/>
      </c>
      <c r="BC57" s="63" t="str">
        <f t="shared" si="70"/>
        <v/>
      </c>
      <c r="BD57" s="63" t="str">
        <f t="shared" si="70"/>
        <v/>
      </c>
      <c r="BE57" s="63" t="str">
        <f t="shared" si="70"/>
        <v/>
      </c>
      <c r="BF57" s="63" t="str">
        <f t="shared" si="70"/>
        <v/>
      </c>
      <c r="BI57" s="67" t="s">
        <v>20</v>
      </c>
      <c r="BJ57" s="67"/>
      <c r="BK57" s="63" t="e">
        <f t="shared" ref="BK57:BY57" si="71">IF(AR9="",NA(),((AR9-$AR$53)/$AR$52))</f>
        <v>#N/A</v>
      </c>
      <c r="BL57" s="63" t="e">
        <f t="shared" si="71"/>
        <v>#N/A</v>
      </c>
      <c r="BM57" s="63" t="e">
        <f t="shared" si="71"/>
        <v>#N/A</v>
      </c>
      <c r="BN57" s="63" t="e">
        <f t="shared" si="71"/>
        <v>#N/A</v>
      </c>
      <c r="BO57" s="63" t="e">
        <f t="shared" si="71"/>
        <v>#N/A</v>
      </c>
      <c r="BP57" s="63" t="e">
        <f t="shared" si="71"/>
        <v>#N/A</v>
      </c>
      <c r="BQ57" s="63" t="e">
        <f t="shared" si="71"/>
        <v>#N/A</v>
      </c>
      <c r="BR57" s="63" t="e">
        <f t="shared" si="71"/>
        <v>#N/A</v>
      </c>
      <c r="BS57" s="63" t="e">
        <f t="shared" si="71"/>
        <v>#N/A</v>
      </c>
      <c r="BT57" s="63" t="e">
        <f t="shared" si="71"/>
        <v>#N/A</v>
      </c>
      <c r="BU57" s="63" t="e">
        <f t="shared" si="71"/>
        <v>#N/A</v>
      </c>
      <c r="BV57" s="63" t="e">
        <f t="shared" si="71"/>
        <v>#N/A</v>
      </c>
      <c r="BW57" s="63" t="e">
        <f t="shared" si="71"/>
        <v>#N/A</v>
      </c>
      <c r="BX57" s="63" t="e">
        <f t="shared" si="71"/>
        <v>#N/A</v>
      </c>
      <c r="BY57" s="63" t="e">
        <f t="shared" si="71"/>
        <v>#N/A</v>
      </c>
    </row>
    <row r="58" spans="1:77" x14ac:dyDescent="0.5">
      <c r="B58" s="56" t="s">
        <v>139</v>
      </c>
      <c r="O58" s="17"/>
      <c r="Z58" s="12"/>
      <c r="AO58" s="12"/>
      <c r="AP58" s="59" t="s">
        <v>40</v>
      </c>
      <c r="AQ58" s="59"/>
      <c r="AR58" s="63" t="str">
        <f t="shared" ref="AR58:BF58" si="72">IF(AR9="","",AR57-$AP$4)</f>
        <v/>
      </c>
      <c r="AS58" s="63" t="str">
        <f t="shared" si="72"/>
        <v/>
      </c>
      <c r="AT58" s="63" t="str">
        <f t="shared" si="72"/>
        <v/>
      </c>
      <c r="AU58" s="63" t="str">
        <f t="shared" si="72"/>
        <v/>
      </c>
      <c r="AV58" s="63" t="str">
        <f t="shared" si="72"/>
        <v/>
      </c>
      <c r="AW58" s="63" t="str">
        <f t="shared" si="72"/>
        <v/>
      </c>
      <c r="AX58" s="63" t="str">
        <f t="shared" si="72"/>
        <v/>
      </c>
      <c r="AY58" s="63" t="str">
        <f t="shared" si="72"/>
        <v/>
      </c>
      <c r="AZ58" s="63" t="str">
        <f t="shared" si="72"/>
        <v/>
      </c>
      <c r="BA58" s="63" t="str">
        <f t="shared" si="72"/>
        <v/>
      </c>
      <c r="BB58" s="63" t="str">
        <f t="shared" si="72"/>
        <v/>
      </c>
      <c r="BC58" s="63" t="str">
        <f t="shared" si="72"/>
        <v/>
      </c>
      <c r="BD58" s="63" t="str">
        <f t="shared" si="72"/>
        <v/>
      </c>
      <c r="BE58" s="63" t="str">
        <f t="shared" si="72"/>
        <v/>
      </c>
      <c r="BF58" s="63" t="str">
        <f t="shared" si="72"/>
        <v/>
      </c>
      <c r="BI58" s="59" t="s">
        <v>40</v>
      </c>
      <c r="BJ58" s="59"/>
      <c r="BK58" s="63" t="e">
        <f t="shared" ref="BK58:BY58" si="73">IF(AR9="",NA(),AR57-$AP$4)</f>
        <v>#N/A</v>
      </c>
      <c r="BL58" s="63" t="e">
        <f t="shared" si="73"/>
        <v>#N/A</v>
      </c>
      <c r="BM58" s="63" t="e">
        <f t="shared" si="73"/>
        <v>#N/A</v>
      </c>
      <c r="BN58" s="63" t="e">
        <f t="shared" si="73"/>
        <v>#N/A</v>
      </c>
      <c r="BO58" s="63" t="e">
        <f t="shared" si="73"/>
        <v>#N/A</v>
      </c>
      <c r="BP58" s="63" t="e">
        <f t="shared" si="73"/>
        <v>#N/A</v>
      </c>
      <c r="BQ58" s="63" t="e">
        <f t="shared" si="73"/>
        <v>#N/A</v>
      </c>
      <c r="BR58" s="63" t="e">
        <f t="shared" si="73"/>
        <v>#N/A</v>
      </c>
      <c r="BS58" s="63" t="e">
        <f t="shared" si="73"/>
        <v>#N/A</v>
      </c>
      <c r="BT58" s="63" t="e">
        <f t="shared" si="73"/>
        <v>#N/A</v>
      </c>
      <c r="BU58" s="63" t="e">
        <f t="shared" si="73"/>
        <v>#N/A</v>
      </c>
      <c r="BV58" s="63" t="e">
        <f t="shared" si="73"/>
        <v>#N/A</v>
      </c>
      <c r="BW58" s="63" t="e">
        <f t="shared" si="73"/>
        <v>#N/A</v>
      </c>
      <c r="BX58" s="63" t="e">
        <f t="shared" si="73"/>
        <v>#N/A</v>
      </c>
      <c r="BY58" s="63" t="e">
        <f t="shared" si="73"/>
        <v>#N/A</v>
      </c>
    </row>
    <row r="59" spans="1:77" x14ac:dyDescent="0.5">
      <c r="B59" s="59" t="s">
        <v>23</v>
      </c>
      <c r="C59" s="59"/>
      <c r="D59" s="59" t="e">
        <f>IF(AR$12="",NA(),AR9)</f>
        <v>#N/A</v>
      </c>
      <c r="E59" s="59" t="e">
        <f t="shared" ref="E59:R61" si="74">IF(AS$12="",NA(),AS9)</f>
        <v>#N/A</v>
      </c>
      <c r="F59" s="59" t="e">
        <f t="shared" si="74"/>
        <v>#N/A</v>
      </c>
      <c r="G59" s="59" t="e">
        <f t="shared" si="74"/>
        <v>#N/A</v>
      </c>
      <c r="H59" s="59" t="e">
        <f t="shared" si="74"/>
        <v>#N/A</v>
      </c>
      <c r="I59" s="59" t="e">
        <f t="shared" si="74"/>
        <v>#N/A</v>
      </c>
      <c r="J59" s="59" t="e">
        <f t="shared" si="74"/>
        <v>#N/A</v>
      </c>
      <c r="K59" s="59" t="e">
        <f t="shared" si="74"/>
        <v>#N/A</v>
      </c>
      <c r="L59" s="59" t="e">
        <f t="shared" si="74"/>
        <v>#N/A</v>
      </c>
      <c r="M59" s="59" t="e">
        <f t="shared" si="74"/>
        <v>#N/A</v>
      </c>
      <c r="N59" s="59" t="e">
        <f t="shared" si="74"/>
        <v>#N/A</v>
      </c>
      <c r="O59" s="59" t="e">
        <f t="shared" si="74"/>
        <v>#N/A</v>
      </c>
      <c r="P59" s="59" t="e">
        <f t="shared" si="74"/>
        <v>#N/A</v>
      </c>
      <c r="Q59" s="59" t="e">
        <f t="shared" si="74"/>
        <v>#N/A</v>
      </c>
      <c r="R59" s="59" t="e">
        <f t="shared" si="74"/>
        <v>#N/A</v>
      </c>
      <c r="T59" s="59" t="s">
        <v>23</v>
      </c>
      <c r="U59" s="59"/>
      <c r="V59" s="59" t="e">
        <f>IF(AR$12="",NA(),AR9/$U$64*100)</f>
        <v>#N/A</v>
      </c>
      <c r="W59" s="59" t="e">
        <f t="shared" ref="W59:AJ59" si="75">IF(AS$12="",NA(),AS9/$U$64*100)</f>
        <v>#N/A</v>
      </c>
      <c r="X59" s="59" t="e">
        <f t="shared" si="75"/>
        <v>#N/A</v>
      </c>
      <c r="Y59" s="59" t="e">
        <f t="shared" si="75"/>
        <v>#N/A</v>
      </c>
      <c r="Z59" s="59" t="e">
        <f t="shared" si="75"/>
        <v>#N/A</v>
      </c>
      <c r="AA59" s="59" t="e">
        <f t="shared" si="75"/>
        <v>#N/A</v>
      </c>
      <c r="AB59" s="59" t="e">
        <f t="shared" si="75"/>
        <v>#N/A</v>
      </c>
      <c r="AC59" s="59" t="e">
        <f t="shared" si="75"/>
        <v>#N/A</v>
      </c>
      <c r="AD59" s="59" t="e">
        <f t="shared" si="75"/>
        <v>#N/A</v>
      </c>
      <c r="AE59" s="59" t="e">
        <f t="shared" si="75"/>
        <v>#N/A</v>
      </c>
      <c r="AF59" s="59" t="e">
        <f t="shared" si="75"/>
        <v>#N/A</v>
      </c>
      <c r="AG59" s="59" t="e">
        <f t="shared" si="75"/>
        <v>#N/A</v>
      </c>
      <c r="AH59" s="59" t="e">
        <f t="shared" si="75"/>
        <v>#N/A</v>
      </c>
      <c r="AI59" s="59" t="e">
        <f t="shared" si="75"/>
        <v>#N/A</v>
      </c>
      <c r="AJ59" s="59" t="e">
        <f t="shared" si="75"/>
        <v>#N/A</v>
      </c>
      <c r="AO59" s="12"/>
      <c r="AP59" s="59" t="s">
        <v>41</v>
      </c>
      <c r="AQ59" s="59"/>
      <c r="AR59" s="63" t="str">
        <f t="shared" ref="AR59:BF59" si="76">IF(AR9="","",AR57+$AP$4)</f>
        <v/>
      </c>
      <c r="AS59" s="63" t="str">
        <f t="shared" si="76"/>
        <v/>
      </c>
      <c r="AT59" s="63" t="str">
        <f t="shared" si="76"/>
        <v/>
      </c>
      <c r="AU59" s="63" t="str">
        <f t="shared" si="76"/>
        <v/>
      </c>
      <c r="AV59" s="63" t="str">
        <f t="shared" si="76"/>
        <v/>
      </c>
      <c r="AW59" s="63" t="str">
        <f t="shared" si="76"/>
        <v/>
      </c>
      <c r="AX59" s="63" t="str">
        <f t="shared" si="76"/>
        <v/>
      </c>
      <c r="AY59" s="63" t="str">
        <f t="shared" si="76"/>
        <v/>
      </c>
      <c r="AZ59" s="63" t="str">
        <f t="shared" si="76"/>
        <v/>
      </c>
      <c r="BA59" s="63" t="str">
        <f t="shared" si="76"/>
        <v/>
      </c>
      <c r="BB59" s="63" t="str">
        <f t="shared" si="76"/>
        <v/>
      </c>
      <c r="BC59" s="63" t="str">
        <f t="shared" si="76"/>
        <v/>
      </c>
      <c r="BD59" s="63" t="str">
        <f t="shared" si="76"/>
        <v/>
      </c>
      <c r="BE59" s="63" t="str">
        <f t="shared" si="76"/>
        <v/>
      </c>
      <c r="BF59" s="63" t="str">
        <f t="shared" si="76"/>
        <v/>
      </c>
      <c r="BI59" s="59" t="s">
        <v>41</v>
      </c>
      <c r="BJ59" s="59"/>
      <c r="BK59" s="63" t="e">
        <f t="shared" ref="BK59:BY59" si="77">IF(AR9="",NA(),AR57+$AP$4)</f>
        <v>#N/A</v>
      </c>
      <c r="BL59" s="63" t="e">
        <f t="shared" si="77"/>
        <v>#N/A</v>
      </c>
      <c r="BM59" s="63" t="e">
        <f t="shared" si="77"/>
        <v>#N/A</v>
      </c>
      <c r="BN59" s="63" t="e">
        <f t="shared" si="77"/>
        <v>#N/A</v>
      </c>
      <c r="BO59" s="63" t="e">
        <f t="shared" si="77"/>
        <v>#N/A</v>
      </c>
      <c r="BP59" s="63" t="e">
        <f t="shared" si="77"/>
        <v>#N/A</v>
      </c>
      <c r="BQ59" s="63" t="e">
        <f t="shared" si="77"/>
        <v>#N/A</v>
      </c>
      <c r="BR59" s="63" t="e">
        <f t="shared" si="77"/>
        <v>#N/A</v>
      </c>
      <c r="BS59" s="63" t="e">
        <f t="shared" si="77"/>
        <v>#N/A</v>
      </c>
      <c r="BT59" s="63" t="e">
        <f t="shared" si="77"/>
        <v>#N/A</v>
      </c>
      <c r="BU59" s="63" t="e">
        <f t="shared" si="77"/>
        <v>#N/A</v>
      </c>
      <c r="BV59" s="63" t="e">
        <f t="shared" si="77"/>
        <v>#N/A</v>
      </c>
      <c r="BW59" s="63" t="e">
        <f t="shared" si="77"/>
        <v>#N/A</v>
      </c>
      <c r="BX59" s="63" t="e">
        <f t="shared" si="77"/>
        <v>#N/A</v>
      </c>
      <c r="BY59" s="63" t="e">
        <f t="shared" si="77"/>
        <v>#N/A</v>
      </c>
    </row>
    <row r="60" spans="1:77" x14ac:dyDescent="0.5">
      <c r="B60" s="59" t="s">
        <v>7</v>
      </c>
      <c r="C60" s="59"/>
      <c r="D60" s="59" t="e">
        <f t="shared" ref="D60:D61" si="78">IF(AR$12="",NA(),AR10)</f>
        <v>#N/A</v>
      </c>
      <c r="E60" s="59" t="e">
        <f t="shared" si="74"/>
        <v>#N/A</v>
      </c>
      <c r="F60" s="59" t="e">
        <f t="shared" si="74"/>
        <v>#N/A</v>
      </c>
      <c r="G60" s="59" t="e">
        <f t="shared" si="74"/>
        <v>#N/A</v>
      </c>
      <c r="H60" s="59" t="e">
        <f t="shared" si="74"/>
        <v>#N/A</v>
      </c>
      <c r="I60" s="59" t="e">
        <f t="shared" si="74"/>
        <v>#N/A</v>
      </c>
      <c r="J60" s="59" t="e">
        <f t="shared" si="74"/>
        <v>#N/A</v>
      </c>
      <c r="K60" s="59" t="e">
        <f t="shared" si="74"/>
        <v>#N/A</v>
      </c>
      <c r="L60" s="59" t="e">
        <f t="shared" si="74"/>
        <v>#N/A</v>
      </c>
      <c r="M60" s="59" t="e">
        <f t="shared" si="74"/>
        <v>#N/A</v>
      </c>
      <c r="N60" s="59" t="e">
        <f t="shared" si="74"/>
        <v>#N/A</v>
      </c>
      <c r="O60" s="59" t="e">
        <f t="shared" si="74"/>
        <v>#N/A</v>
      </c>
      <c r="P60" s="59" t="e">
        <f t="shared" si="74"/>
        <v>#N/A</v>
      </c>
      <c r="Q60" s="59" t="e">
        <f t="shared" si="74"/>
        <v>#N/A</v>
      </c>
      <c r="R60" s="59" t="e">
        <f>IF(BF$12="",NA(),BF10)</f>
        <v>#N/A</v>
      </c>
      <c r="T60" s="59" t="s">
        <v>7</v>
      </c>
      <c r="U60" s="59"/>
      <c r="V60" s="59" t="e">
        <f>IF(AR$12="",NA(),AR10/$U$66*100)</f>
        <v>#N/A</v>
      </c>
      <c r="W60" s="59" t="e">
        <f t="shared" ref="W60:AJ60" si="79">IF(AS$12="",NA(),AS10/$U$66*100)</f>
        <v>#N/A</v>
      </c>
      <c r="X60" s="59" t="e">
        <f t="shared" si="79"/>
        <v>#N/A</v>
      </c>
      <c r="Y60" s="59" t="e">
        <f t="shared" si="79"/>
        <v>#N/A</v>
      </c>
      <c r="Z60" s="59" t="e">
        <f t="shared" si="79"/>
        <v>#N/A</v>
      </c>
      <c r="AA60" s="59" t="e">
        <f t="shared" si="79"/>
        <v>#N/A</v>
      </c>
      <c r="AB60" s="59" t="e">
        <f t="shared" si="79"/>
        <v>#N/A</v>
      </c>
      <c r="AC60" s="59" t="e">
        <f t="shared" si="79"/>
        <v>#N/A</v>
      </c>
      <c r="AD60" s="59" t="e">
        <f t="shared" si="79"/>
        <v>#N/A</v>
      </c>
      <c r="AE60" s="59" t="e">
        <f t="shared" si="79"/>
        <v>#N/A</v>
      </c>
      <c r="AF60" s="59" t="e">
        <f t="shared" si="79"/>
        <v>#N/A</v>
      </c>
      <c r="AG60" s="59" t="e">
        <f t="shared" si="79"/>
        <v>#N/A</v>
      </c>
      <c r="AH60" s="59" t="e">
        <f t="shared" si="79"/>
        <v>#N/A</v>
      </c>
      <c r="AI60" s="59" t="e">
        <f t="shared" si="79"/>
        <v>#N/A</v>
      </c>
      <c r="AJ60" s="59" t="e">
        <f t="shared" si="79"/>
        <v>#N/A</v>
      </c>
      <c r="AO60" s="12"/>
    </row>
    <row r="61" spans="1:77" x14ac:dyDescent="0.5">
      <c r="B61" s="59" t="s">
        <v>8</v>
      </c>
      <c r="C61" s="59"/>
      <c r="D61" s="59" t="e">
        <f t="shared" si="78"/>
        <v>#N/A</v>
      </c>
      <c r="E61" s="59" t="e">
        <f t="shared" si="74"/>
        <v>#N/A</v>
      </c>
      <c r="F61" s="59" t="e">
        <f t="shared" si="74"/>
        <v>#N/A</v>
      </c>
      <c r="G61" s="59" t="e">
        <f t="shared" si="74"/>
        <v>#N/A</v>
      </c>
      <c r="H61" s="59" t="e">
        <f t="shared" si="74"/>
        <v>#N/A</v>
      </c>
      <c r="I61" s="59" t="e">
        <f t="shared" si="74"/>
        <v>#N/A</v>
      </c>
      <c r="J61" s="59" t="e">
        <f t="shared" si="74"/>
        <v>#N/A</v>
      </c>
      <c r="K61" s="59" t="e">
        <f t="shared" si="74"/>
        <v>#N/A</v>
      </c>
      <c r="L61" s="59" t="e">
        <f t="shared" si="74"/>
        <v>#N/A</v>
      </c>
      <c r="M61" s="59" t="e">
        <f t="shared" si="74"/>
        <v>#N/A</v>
      </c>
      <c r="N61" s="59" t="e">
        <f t="shared" si="74"/>
        <v>#N/A</v>
      </c>
      <c r="O61" s="59" t="e">
        <f t="shared" si="74"/>
        <v>#N/A</v>
      </c>
      <c r="P61" s="59" t="e">
        <f t="shared" si="74"/>
        <v>#N/A</v>
      </c>
      <c r="Q61" s="59" t="e">
        <f t="shared" si="74"/>
        <v>#N/A</v>
      </c>
      <c r="R61" s="59" t="e">
        <f>IF(BF$12="",NA(),BF11)</f>
        <v>#N/A</v>
      </c>
      <c r="T61" s="59" t="s">
        <v>8</v>
      </c>
      <c r="U61" s="59"/>
      <c r="V61" s="59" t="e">
        <f>IF(AR$12="",NA(),AR11/$U$67*100)</f>
        <v>#N/A</v>
      </c>
      <c r="W61" s="59" t="e">
        <f t="shared" ref="W61:AJ61" si="80">IF(AS$12="",NA(),AS11/$U$67*100)</f>
        <v>#N/A</v>
      </c>
      <c r="X61" s="59" t="e">
        <f t="shared" si="80"/>
        <v>#N/A</v>
      </c>
      <c r="Y61" s="59" t="e">
        <f t="shared" si="80"/>
        <v>#N/A</v>
      </c>
      <c r="Z61" s="59" t="e">
        <f t="shared" si="80"/>
        <v>#N/A</v>
      </c>
      <c r="AA61" s="59" t="e">
        <f t="shared" si="80"/>
        <v>#N/A</v>
      </c>
      <c r="AB61" s="59" t="e">
        <f t="shared" si="80"/>
        <v>#N/A</v>
      </c>
      <c r="AC61" s="59" t="e">
        <f t="shared" si="80"/>
        <v>#N/A</v>
      </c>
      <c r="AD61" s="59" t="e">
        <f t="shared" si="80"/>
        <v>#N/A</v>
      </c>
      <c r="AE61" s="59" t="e">
        <f t="shared" si="80"/>
        <v>#N/A</v>
      </c>
      <c r="AF61" s="59" t="e">
        <f t="shared" si="80"/>
        <v>#N/A</v>
      </c>
      <c r="AG61" s="59" t="e">
        <f t="shared" si="80"/>
        <v>#N/A</v>
      </c>
      <c r="AH61" s="59" t="e">
        <f t="shared" si="80"/>
        <v>#N/A</v>
      </c>
      <c r="AI61" s="59" t="e">
        <f t="shared" si="80"/>
        <v>#N/A</v>
      </c>
      <c r="AJ61" s="59" t="e">
        <f t="shared" si="80"/>
        <v>#N/A</v>
      </c>
      <c r="AO61" s="12"/>
      <c r="AP61" s="67" t="s">
        <v>42</v>
      </c>
      <c r="AQ61" s="59"/>
      <c r="AR61" s="63" t="str">
        <f t="shared" ref="AR61:BF61" si="81">IF(AR9="","",AR9*AR57)</f>
        <v/>
      </c>
      <c r="AS61" s="63" t="str">
        <f t="shared" si="81"/>
        <v/>
      </c>
      <c r="AT61" s="63" t="str">
        <f t="shared" si="81"/>
        <v/>
      </c>
      <c r="AU61" s="63" t="str">
        <f t="shared" si="81"/>
        <v/>
      </c>
      <c r="AV61" s="63" t="str">
        <f t="shared" si="81"/>
        <v/>
      </c>
      <c r="AW61" s="63" t="str">
        <f t="shared" si="81"/>
        <v/>
      </c>
      <c r="AX61" s="63" t="str">
        <f t="shared" si="81"/>
        <v/>
      </c>
      <c r="AY61" s="63" t="str">
        <f t="shared" si="81"/>
        <v/>
      </c>
      <c r="AZ61" s="63" t="str">
        <f t="shared" si="81"/>
        <v/>
      </c>
      <c r="BA61" s="63" t="str">
        <f t="shared" si="81"/>
        <v/>
      </c>
      <c r="BB61" s="63" t="str">
        <f t="shared" si="81"/>
        <v/>
      </c>
      <c r="BC61" s="63" t="str">
        <f t="shared" si="81"/>
        <v/>
      </c>
      <c r="BD61" s="63" t="str">
        <f t="shared" si="81"/>
        <v/>
      </c>
      <c r="BE61" s="63" t="str">
        <f t="shared" si="81"/>
        <v/>
      </c>
      <c r="BF61" s="63" t="str">
        <f t="shared" si="81"/>
        <v/>
      </c>
      <c r="BI61" s="67" t="s">
        <v>42</v>
      </c>
      <c r="BJ61" s="59"/>
      <c r="BK61" s="63" t="e">
        <f t="shared" ref="BK61:BY61" si="82">IF(AR9="",NA(),AR9*AR57)</f>
        <v>#N/A</v>
      </c>
      <c r="BL61" s="63" t="e">
        <f t="shared" si="82"/>
        <v>#N/A</v>
      </c>
      <c r="BM61" s="63" t="e">
        <f t="shared" si="82"/>
        <v>#N/A</v>
      </c>
      <c r="BN61" s="63" t="e">
        <f t="shared" si="82"/>
        <v>#N/A</v>
      </c>
      <c r="BO61" s="63" t="e">
        <f t="shared" si="82"/>
        <v>#N/A</v>
      </c>
      <c r="BP61" s="63" t="e">
        <f t="shared" si="82"/>
        <v>#N/A</v>
      </c>
      <c r="BQ61" s="63" t="e">
        <f t="shared" si="82"/>
        <v>#N/A</v>
      </c>
      <c r="BR61" s="63" t="e">
        <f t="shared" si="82"/>
        <v>#N/A</v>
      </c>
      <c r="BS61" s="63" t="e">
        <f t="shared" si="82"/>
        <v>#N/A</v>
      </c>
      <c r="BT61" s="63" t="e">
        <f t="shared" si="82"/>
        <v>#N/A</v>
      </c>
      <c r="BU61" s="63" t="e">
        <f t="shared" si="82"/>
        <v>#N/A</v>
      </c>
      <c r="BV61" s="63" t="e">
        <f t="shared" si="82"/>
        <v>#N/A</v>
      </c>
      <c r="BW61" s="63" t="e">
        <f t="shared" si="82"/>
        <v>#N/A</v>
      </c>
      <c r="BX61" s="63" t="e">
        <f t="shared" si="82"/>
        <v>#N/A</v>
      </c>
      <c r="BY61" s="63" t="e">
        <f t="shared" si="82"/>
        <v>#N/A</v>
      </c>
    </row>
    <row r="62" spans="1:77" x14ac:dyDescent="0.5">
      <c r="A62" s="49"/>
      <c r="AO62" s="12"/>
      <c r="AP62" s="59" t="s">
        <v>45</v>
      </c>
      <c r="AQ62" s="59"/>
      <c r="AR62" s="63" t="str">
        <f t="shared" ref="AR62:BF62" si="83">IF(AR9="","",AR9*AR58)</f>
        <v/>
      </c>
      <c r="AS62" s="63" t="str">
        <f t="shared" si="83"/>
        <v/>
      </c>
      <c r="AT62" s="63" t="str">
        <f t="shared" si="83"/>
        <v/>
      </c>
      <c r="AU62" s="63" t="str">
        <f t="shared" si="83"/>
        <v/>
      </c>
      <c r="AV62" s="63" t="str">
        <f t="shared" si="83"/>
        <v/>
      </c>
      <c r="AW62" s="63" t="str">
        <f t="shared" si="83"/>
        <v/>
      </c>
      <c r="AX62" s="63" t="str">
        <f t="shared" si="83"/>
        <v/>
      </c>
      <c r="AY62" s="63" t="str">
        <f t="shared" si="83"/>
        <v/>
      </c>
      <c r="AZ62" s="63" t="str">
        <f t="shared" si="83"/>
        <v/>
      </c>
      <c r="BA62" s="63" t="str">
        <f t="shared" si="83"/>
        <v/>
      </c>
      <c r="BB62" s="63" t="str">
        <f t="shared" si="83"/>
        <v/>
      </c>
      <c r="BC62" s="63" t="str">
        <f t="shared" si="83"/>
        <v/>
      </c>
      <c r="BD62" s="63" t="str">
        <f t="shared" si="83"/>
        <v/>
      </c>
      <c r="BE62" s="63" t="str">
        <f t="shared" si="83"/>
        <v/>
      </c>
      <c r="BF62" s="63" t="str">
        <f t="shared" si="83"/>
        <v/>
      </c>
      <c r="BI62" s="59" t="s">
        <v>45</v>
      </c>
      <c r="BJ62" s="59"/>
      <c r="BK62" s="63" t="e">
        <f t="shared" ref="BK62:BY62" si="84">IF(AR9="",NA(),AR9*AR58)</f>
        <v>#N/A</v>
      </c>
      <c r="BL62" s="63" t="e">
        <f t="shared" si="84"/>
        <v>#N/A</v>
      </c>
      <c r="BM62" s="63" t="e">
        <f t="shared" si="84"/>
        <v>#N/A</v>
      </c>
      <c r="BN62" s="63" t="e">
        <f t="shared" si="84"/>
        <v>#N/A</v>
      </c>
      <c r="BO62" s="63" t="e">
        <f t="shared" si="84"/>
        <v>#N/A</v>
      </c>
      <c r="BP62" s="63" t="e">
        <f t="shared" si="84"/>
        <v>#N/A</v>
      </c>
      <c r="BQ62" s="63" t="e">
        <f t="shared" si="84"/>
        <v>#N/A</v>
      </c>
      <c r="BR62" s="63" t="e">
        <f t="shared" si="84"/>
        <v>#N/A</v>
      </c>
      <c r="BS62" s="63" t="e">
        <f t="shared" si="84"/>
        <v>#N/A</v>
      </c>
      <c r="BT62" s="63" t="e">
        <f t="shared" si="84"/>
        <v>#N/A</v>
      </c>
      <c r="BU62" s="63" t="e">
        <f t="shared" si="84"/>
        <v>#N/A</v>
      </c>
      <c r="BV62" s="63" t="e">
        <f t="shared" si="84"/>
        <v>#N/A</v>
      </c>
      <c r="BW62" s="63" t="e">
        <f t="shared" si="84"/>
        <v>#N/A</v>
      </c>
      <c r="BX62" s="63" t="e">
        <f t="shared" si="84"/>
        <v>#N/A</v>
      </c>
      <c r="BY62" s="63" t="e">
        <f t="shared" si="84"/>
        <v>#N/A</v>
      </c>
    </row>
    <row r="63" spans="1:77" x14ac:dyDescent="0.5">
      <c r="A63" s="49"/>
      <c r="B63" s="56" t="s">
        <v>124</v>
      </c>
      <c r="O63" s="17"/>
      <c r="P63" s="56" t="s">
        <v>125</v>
      </c>
      <c r="T63" s="53" t="s">
        <v>36</v>
      </c>
      <c r="U63" s="12"/>
      <c r="V63" s="12"/>
      <c r="W63" s="12"/>
      <c r="Z63" s="56" t="s">
        <v>160</v>
      </c>
      <c r="AO63" s="12"/>
      <c r="AP63" s="59" t="s">
        <v>46</v>
      </c>
      <c r="AQ63" s="59"/>
      <c r="AR63" s="63" t="str">
        <f t="shared" ref="AR63:BF63" si="85">IF(AR9="","",AR9*AR59)</f>
        <v/>
      </c>
      <c r="AS63" s="63" t="str">
        <f t="shared" si="85"/>
        <v/>
      </c>
      <c r="AT63" s="63" t="str">
        <f t="shared" si="85"/>
        <v/>
      </c>
      <c r="AU63" s="63" t="str">
        <f t="shared" si="85"/>
        <v/>
      </c>
      <c r="AV63" s="63" t="str">
        <f t="shared" si="85"/>
        <v/>
      </c>
      <c r="AW63" s="63" t="str">
        <f t="shared" si="85"/>
        <v/>
      </c>
      <c r="AX63" s="63" t="str">
        <f t="shared" si="85"/>
        <v/>
      </c>
      <c r="AY63" s="63" t="str">
        <f t="shared" si="85"/>
        <v/>
      </c>
      <c r="AZ63" s="63" t="str">
        <f t="shared" si="85"/>
        <v/>
      </c>
      <c r="BA63" s="63" t="str">
        <f t="shared" si="85"/>
        <v/>
      </c>
      <c r="BB63" s="63" t="str">
        <f t="shared" si="85"/>
        <v/>
      </c>
      <c r="BC63" s="63" t="str">
        <f t="shared" si="85"/>
        <v/>
      </c>
      <c r="BD63" s="63" t="str">
        <f t="shared" si="85"/>
        <v/>
      </c>
      <c r="BE63" s="63" t="str">
        <f t="shared" si="85"/>
        <v/>
      </c>
      <c r="BF63" s="63" t="str">
        <f t="shared" si="85"/>
        <v/>
      </c>
      <c r="BI63" s="59" t="s">
        <v>46</v>
      </c>
      <c r="BJ63" s="59"/>
      <c r="BK63" s="63" t="e">
        <f t="shared" ref="BK63:BY63" si="86">IF(AR9="",NA(),AR9*AR59)</f>
        <v>#N/A</v>
      </c>
      <c r="BL63" s="63" t="e">
        <f t="shared" si="86"/>
        <v>#N/A</v>
      </c>
      <c r="BM63" s="63" t="e">
        <f t="shared" si="86"/>
        <v>#N/A</v>
      </c>
      <c r="BN63" s="63" t="e">
        <f t="shared" si="86"/>
        <v>#N/A</v>
      </c>
      <c r="BO63" s="63" t="e">
        <f t="shared" si="86"/>
        <v>#N/A</v>
      </c>
      <c r="BP63" s="63" t="e">
        <f t="shared" si="86"/>
        <v>#N/A</v>
      </c>
      <c r="BQ63" s="63" t="e">
        <f t="shared" si="86"/>
        <v>#N/A</v>
      </c>
      <c r="BR63" s="63" t="e">
        <f t="shared" si="86"/>
        <v>#N/A</v>
      </c>
      <c r="BS63" s="63" t="e">
        <f t="shared" si="86"/>
        <v>#N/A</v>
      </c>
      <c r="BT63" s="63" t="e">
        <f t="shared" si="86"/>
        <v>#N/A</v>
      </c>
      <c r="BU63" s="63" t="e">
        <f t="shared" si="86"/>
        <v>#N/A</v>
      </c>
      <c r="BV63" s="63" t="e">
        <f t="shared" si="86"/>
        <v>#N/A</v>
      </c>
      <c r="BW63" s="63" t="e">
        <f t="shared" si="86"/>
        <v>#N/A</v>
      </c>
      <c r="BX63" s="63" t="e">
        <f t="shared" si="86"/>
        <v>#N/A</v>
      </c>
      <c r="BY63" s="63" t="e">
        <f t="shared" si="86"/>
        <v>#N/A</v>
      </c>
    </row>
    <row r="64" spans="1:77" ht="19.8" x14ac:dyDescent="0.5">
      <c r="A64" s="49"/>
      <c r="B64" s="59" t="s">
        <v>75</v>
      </c>
      <c r="C64" s="59" t="s">
        <v>76</v>
      </c>
      <c r="D64" s="59" t="s">
        <v>77</v>
      </c>
      <c r="E64" s="59" t="s">
        <v>75</v>
      </c>
      <c r="F64" s="59" t="s">
        <v>76</v>
      </c>
      <c r="G64" s="59" t="s">
        <v>77</v>
      </c>
      <c r="H64" s="59" t="s">
        <v>23</v>
      </c>
      <c r="I64" s="59" t="s">
        <v>7</v>
      </c>
      <c r="J64" s="59" t="s">
        <v>88</v>
      </c>
      <c r="K64" s="59" t="s">
        <v>91</v>
      </c>
      <c r="L64" s="59" t="s">
        <v>8</v>
      </c>
      <c r="M64" s="59" t="s">
        <v>90</v>
      </c>
      <c r="N64" s="59" t="s">
        <v>89</v>
      </c>
      <c r="O64" s="17" t="s">
        <v>37</v>
      </c>
      <c r="P64" s="59" t="s">
        <v>87</v>
      </c>
      <c r="Q64" s="59" t="s">
        <v>86</v>
      </c>
      <c r="R64" s="59" t="s">
        <v>0</v>
      </c>
      <c r="T64" s="59" t="s">
        <v>2</v>
      </c>
      <c r="U64" s="62" t="e">
        <f>IF($Z$64=1,AR23,IF($Z$64=2,AR53,IF($Z$64=3,AR87,IF($Z$64=4,AT119,IF($Z$64=5,AT178)))))</f>
        <v>#DIV/0!</v>
      </c>
      <c r="V64" s="59" t="s">
        <v>39</v>
      </c>
      <c r="W64" s="62" t="e">
        <f>IF(Z64=1,AR24,IF(Z64=2,AR54,IF(Z64=3,AR88,IF(Z64=4,AW115,IF($Z$64=5,AW174,)))))</f>
        <v>#DIV/0!</v>
      </c>
      <c r="Z64" s="106">
        <f>IF(analysistypecat=Z68,Y68,IF(analysistypecat=Z69,Y69,IF(analysistypecat=Z70,Y70,IF(analysistypecat=Z71,Y71,IF(analysistypecat=Z72,Y72)))))</f>
        <v>2</v>
      </c>
      <c r="AA64" s="107"/>
      <c r="AB64" s="107"/>
      <c r="AO64" s="12"/>
    </row>
    <row r="65" spans="1:77" x14ac:dyDescent="0.5">
      <c r="A65" s="49"/>
      <c r="B65" s="62">
        <v>1</v>
      </c>
      <c r="C65" s="62" t="e">
        <f t="shared" ref="C65:C96" si="87">I65/$U$66</f>
        <v>#DIV/0!</v>
      </c>
      <c r="D65" s="62" t="e">
        <f t="shared" ref="D65:D96" si="88">L65/$U$67</f>
        <v>#DIV/0!</v>
      </c>
      <c r="E65" s="59">
        <f>B65*100</f>
        <v>100</v>
      </c>
      <c r="F65" s="59" t="e">
        <f t="shared" ref="F65:G65" si="89">C65*100</f>
        <v>#DIV/0!</v>
      </c>
      <c r="G65" s="59" t="e">
        <f t="shared" si="89"/>
        <v>#DIV/0!</v>
      </c>
      <c r="H65" s="62" t="e">
        <f t="shared" ref="H65:H96" si="90">IF(OR($Z$64=1,$Z$64=2,$Z$64=3),$U$64*B65,IF($Z$64=4,T110,IF($Z$64=5,AI163,NA())))</f>
        <v>#DIV/0!</v>
      </c>
      <c r="I65" s="62" t="e">
        <f t="shared" ref="I65:I96" si="91">IF(OR($Z$64=1,$Z$64=2,$Z$64=3),(H65-$U$64)/$U$65,IF($Z$64=4,U110,IF($Z$64=5,AJ163,NA())))</f>
        <v>#DIV/0!</v>
      </c>
      <c r="J65" s="62" t="e">
        <f>I65-$AP$4</f>
        <v>#DIV/0!</v>
      </c>
      <c r="K65" s="62" t="e">
        <f>I65+$AP$4</f>
        <v>#DIV/0!</v>
      </c>
      <c r="L65" s="62" t="e">
        <f>H65*I65</f>
        <v>#DIV/0!</v>
      </c>
      <c r="M65" s="62" t="e">
        <f>J65*H65</f>
        <v>#DIV/0!</v>
      </c>
      <c r="N65" s="62" t="e">
        <f>K65*H65</f>
        <v>#DIV/0!</v>
      </c>
      <c r="O65" s="17" t="e">
        <f>SLOPE(I65:I70,E65:E70)</f>
        <v>#DIV/0!</v>
      </c>
      <c r="P65" s="61" t="e">
        <f>U64</f>
        <v>#DIV/0!</v>
      </c>
      <c r="Q65" s="62">
        <v>0</v>
      </c>
      <c r="R65" s="61">
        <v>0</v>
      </c>
      <c r="T65" s="59" t="s">
        <v>37</v>
      </c>
      <c r="U65" s="62" t="e">
        <f>IF($Z$64=1,AR22,IF($Z$64=2,AR52,IF($Z$64=3,AR86,IF($Z$64=4,AT120,IF($Z$64=5,AT179)))))</f>
        <v>#DIV/0!</v>
      </c>
      <c r="V65" s="59" t="s">
        <v>85</v>
      </c>
      <c r="W65" s="62" t="e">
        <f>IF(Z64=1,AT24,IF(Z64=2,AT54,IF(Z64=3,AT88,IF(Z64=4,AY115,IF(Z64=5,AY174)))))</f>
        <v>#DIV/0!</v>
      </c>
      <c r="AO65" s="12"/>
      <c r="AP65" s="53" t="s">
        <v>49</v>
      </c>
      <c r="BI65" s="53" t="s">
        <v>49</v>
      </c>
    </row>
    <row r="66" spans="1:77" x14ac:dyDescent="0.5">
      <c r="A66" s="49"/>
      <c r="B66" s="62">
        <v>0.99</v>
      </c>
      <c r="C66" s="62" t="e">
        <f t="shared" si="87"/>
        <v>#DIV/0!</v>
      </c>
      <c r="D66" s="62" t="e">
        <f t="shared" si="88"/>
        <v>#DIV/0!</v>
      </c>
      <c r="E66" s="59">
        <f t="shared" ref="E66:E129" si="92">B66*100</f>
        <v>99</v>
      </c>
      <c r="F66" s="59" t="e">
        <f t="shared" ref="F66:F129" si="93">C66*100</f>
        <v>#DIV/0!</v>
      </c>
      <c r="G66" s="59" t="e">
        <f t="shared" ref="G66:G129" si="94">D66*100</f>
        <v>#DIV/0!</v>
      </c>
      <c r="H66" s="62" t="e">
        <f t="shared" si="90"/>
        <v>#DIV/0!</v>
      </c>
      <c r="I66" s="62" t="e">
        <f t="shared" si="91"/>
        <v>#DIV/0!</v>
      </c>
      <c r="J66" s="62" t="e">
        <f t="shared" ref="J66:J129" si="95">I66-$AP$4</f>
        <v>#DIV/0!</v>
      </c>
      <c r="K66" s="62" t="e">
        <f t="shared" ref="K66:K129" si="96">I66+$AP$4</f>
        <v>#DIV/0!</v>
      </c>
      <c r="L66" s="62" t="e">
        <f t="shared" ref="L66:L129" si="97">H66*I66</f>
        <v>#DIV/0!</v>
      </c>
      <c r="M66" s="62" t="e">
        <f t="shared" ref="M66:M129" si="98">J66*H66</f>
        <v>#DIV/0!</v>
      </c>
      <c r="N66" s="62" t="e">
        <f t="shared" ref="N66:N129" si="99">K66*H66</f>
        <v>#DIV/0!</v>
      </c>
      <c r="O66" s="17" t="e">
        <f>SLOPE(I65:I71,E65:E71)</f>
        <v>#DIV/0!</v>
      </c>
      <c r="P66" s="61">
        <v>0</v>
      </c>
      <c r="Q66" s="62" t="e">
        <f>U75</f>
        <v>#DIV/0!</v>
      </c>
      <c r="R66" s="61">
        <v>0</v>
      </c>
      <c r="T66" s="59" t="s">
        <v>67</v>
      </c>
      <c r="U66" s="62" t="e">
        <f>IF($Z$64=4,AT124,IF($Z$64=5,AT183,-U64/U65))</f>
        <v>#DIV/0!</v>
      </c>
      <c r="V66" s="59" t="s">
        <v>80</v>
      </c>
      <c r="W66" s="62">
        <f>IF(Z64=1,AV24,IF(Z64=2,AV54,IF(Z64=3,AV88,IF(Z64=4,BA115,IF(Z64=5,BA174)))))</f>
        <v>0</v>
      </c>
      <c r="AO66" s="12"/>
      <c r="AP66" s="65" t="s">
        <v>23</v>
      </c>
      <c r="AQ66" s="59"/>
      <c r="AR66" s="63" t="str">
        <f t="shared" ref="AR66:BF66" si="100">IF(AR$45=0,AR9,"")</f>
        <v/>
      </c>
      <c r="AS66" s="63" t="str">
        <f t="shared" si="100"/>
        <v/>
      </c>
      <c r="AT66" s="63" t="str">
        <f t="shared" si="100"/>
        <v/>
      </c>
      <c r="AU66" s="63" t="str">
        <f t="shared" si="100"/>
        <v/>
      </c>
      <c r="AV66" s="63" t="str">
        <f t="shared" si="100"/>
        <v/>
      </c>
      <c r="AW66" s="63" t="str">
        <f t="shared" si="100"/>
        <v/>
      </c>
      <c r="AX66" s="63" t="str">
        <f t="shared" si="100"/>
        <v/>
      </c>
      <c r="AY66" s="63" t="str">
        <f t="shared" si="100"/>
        <v/>
      </c>
      <c r="AZ66" s="63" t="str">
        <f t="shared" si="100"/>
        <v/>
      </c>
      <c r="BA66" s="63" t="str">
        <f t="shared" si="100"/>
        <v/>
      </c>
      <c r="BB66" s="63" t="str">
        <f t="shared" si="100"/>
        <v/>
      </c>
      <c r="BC66" s="63" t="str">
        <f t="shared" si="100"/>
        <v/>
      </c>
      <c r="BD66" s="63" t="str">
        <f t="shared" si="100"/>
        <v/>
      </c>
      <c r="BE66" s="63" t="str">
        <f t="shared" si="100"/>
        <v/>
      </c>
      <c r="BF66" s="63" t="str">
        <f t="shared" si="100"/>
        <v/>
      </c>
      <c r="BI66" s="65" t="s">
        <v>23</v>
      </c>
      <c r="BJ66" s="59"/>
      <c r="BK66" s="63" t="e">
        <f t="shared" ref="BK66:BY68" si="101">IF(AR$45=0,AR9,NA())</f>
        <v>#N/A</v>
      </c>
      <c r="BL66" s="63" t="e">
        <f t="shared" si="101"/>
        <v>#N/A</v>
      </c>
      <c r="BM66" s="63" t="e">
        <f t="shared" si="101"/>
        <v>#N/A</v>
      </c>
      <c r="BN66" s="63" t="e">
        <f t="shared" si="101"/>
        <v>#N/A</v>
      </c>
      <c r="BO66" s="63" t="e">
        <f t="shared" si="101"/>
        <v>#N/A</v>
      </c>
      <c r="BP66" s="63" t="e">
        <f t="shared" si="101"/>
        <v>#N/A</v>
      </c>
      <c r="BQ66" s="63" t="e">
        <f t="shared" si="101"/>
        <v>#N/A</v>
      </c>
      <c r="BR66" s="63" t="e">
        <f t="shared" si="101"/>
        <v>#N/A</v>
      </c>
      <c r="BS66" s="63" t="e">
        <f t="shared" si="101"/>
        <v>#N/A</v>
      </c>
      <c r="BT66" s="63" t="e">
        <f t="shared" si="101"/>
        <v>#N/A</v>
      </c>
      <c r="BU66" s="63" t="e">
        <f t="shared" si="101"/>
        <v>#N/A</v>
      </c>
      <c r="BV66" s="63" t="e">
        <f t="shared" si="101"/>
        <v>#N/A</v>
      </c>
      <c r="BW66" s="63" t="e">
        <f t="shared" si="101"/>
        <v>#N/A</v>
      </c>
      <c r="BX66" s="63" t="e">
        <f t="shared" si="101"/>
        <v>#N/A</v>
      </c>
      <c r="BY66" s="63" t="e">
        <f t="shared" si="101"/>
        <v>#N/A</v>
      </c>
    </row>
    <row r="67" spans="1:77" x14ac:dyDescent="0.5">
      <c r="A67" s="49"/>
      <c r="B67" s="62">
        <v>0.98</v>
      </c>
      <c r="C67" s="62" t="e">
        <f t="shared" si="87"/>
        <v>#DIV/0!</v>
      </c>
      <c r="D67" s="62" t="e">
        <f t="shared" si="88"/>
        <v>#DIV/0!</v>
      </c>
      <c r="E67" s="59">
        <f t="shared" si="92"/>
        <v>98</v>
      </c>
      <c r="F67" s="59" t="e">
        <f t="shared" si="93"/>
        <v>#DIV/0!</v>
      </c>
      <c r="G67" s="59" t="e">
        <f t="shared" si="94"/>
        <v>#DIV/0!</v>
      </c>
      <c r="H67" s="62" t="e">
        <f t="shared" si="90"/>
        <v>#DIV/0!</v>
      </c>
      <c r="I67" s="62" t="e">
        <f t="shared" si="91"/>
        <v>#DIV/0!</v>
      </c>
      <c r="J67" s="62" t="e">
        <f t="shared" si="95"/>
        <v>#DIV/0!</v>
      </c>
      <c r="K67" s="62" t="e">
        <f t="shared" si="96"/>
        <v>#DIV/0!</v>
      </c>
      <c r="L67" s="62" t="e">
        <f t="shared" si="97"/>
        <v>#DIV/0!</v>
      </c>
      <c r="M67" s="62" t="e">
        <f t="shared" si="98"/>
        <v>#DIV/0!</v>
      </c>
      <c r="N67" s="62" t="e">
        <f t="shared" si="99"/>
        <v>#DIV/0!</v>
      </c>
      <c r="O67" s="17" t="e">
        <f>SLOPE(I65:I72,E65:E72)</f>
        <v>#DIV/0!</v>
      </c>
      <c r="P67" s="61" t="e">
        <f>P65/2</f>
        <v>#DIV/0!</v>
      </c>
      <c r="Q67" s="62" t="e">
        <f>Q66/2</f>
        <v>#DIV/0!</v>
      </c>
      <c r="R67" s="61" t="e">
        <f>U76</f>
        <v>#DIV/0!</v>
      </c>
      <c r="T67" s="59" t="s">
        <v>1</v>
      </c>
      <c r="U67" s="62" t="e">
        <f>IF($Z$64=4,AT125,IF($Z$64=5,AT184,U66*U64/4))</f>
        <v>#DIV/0!</v>
      </c>
      <c r="V67" s="12"/>
      <c r="W67" s="12"/>
      <c r="Z67" s="108" t="s">
        <v>128</v>
      </c>
      <c r="AC67" s="17" t="s">
        <v>179</v>
      </c>
      <c r="AO67" s="12"/>
      <c r="AP67" s="67" t="s">
        <v>18</v>
      </c>
      <c r="AQ67" s="59"/>
      <c r="AR67" s="63" t="str">
        <f t="shared" ref="AR67:BF67" si="102">IF(AR$45=0,AR10,"")</f>
        <v/>
      </c>
      <c r="AS67" s="63" t="str">
        <f t="shared" si="102"/>
        <v/>
      </c>
      <c r="AT67" s="63" t="str">
        <f t="shared" si="102"/>
        <v/>
      </c>
      <c r="AU67" s="63" t="str">
        <f t="shared" si="102"/>
        <v/>
      </c>
      <c r="AV67" s="63" t="str">
        <f t="shared" si="102"/>
        <v/>
      </c>
      <c r="AW67" s="63" t="str">
        <f t="shared" si="102"/>
        <v/>
      </c>
      <c r="AX67" s="63" t="str">
        <f t="shared" si="102"/>
        <v/>
      </c>
      <c r="AY67" s="63" t="str">
        <f t="shared" si="102"/>
        <v/>
      </c>
      <c r="AZ67" s="63" t="str">
        <f t="shared" si="102"/>
        <v/>
      </c>
      <c r="BA67" s="63" t="str">
        <f t="shared" si="102"/>
        <v/>
      </c>
      <c r="BB67" s="63" t="str">
        <f t="shared" si="102"/>
        <v/>
      </c>
      <c r="BC67" s="63" t="str">
        <f t="shared" si="102"/>
        <v/>
      </c>
      <c r="BD67" s="63" t="str">
        <f t="shared" si="102"/>
        <v/>
      </c>
      <c r="BE67" s="63" t="str">
        <f t="shared" si="102"/>
        <v/>
      </c>
      <c r="BF67" s="63" t="str">
        <f t="shared" si="102"/>
        <v/>
      </c>
      <c r="BI67" s="67" t="s">
        <v>18</v>
      </c>
      <c r="BJ67" s="59"/>
      <c r="BK67" s="63" t="e">
        <f t="shared" si="101"/>
        <v>#N/A</v>
      </c>
      <c r="BL67" s="63" t="e">
        <f t="shared" si="101"/>
        <v>#N/A</v>
      </c>
      <c r="BM67" s="63" t="e">
        <f t="shared" si="101"/>
        <v>#N/A</v>
      </c>
      <c r="BN67" s="63" t="e">
        <f t="shared" si="101"/>
        <v>#N/A</v>
      </c>
      <c r="BO67" s="63" t="e">
        <f t="shared" si="101"/>
        <v>#N/A</v>
      </c>
      <c r="BP67" s="63" t="e">
        <f t="shared" si="101"/>
        <v>#N/A</v>
      </c>
      <c r="BQ67" s="63" t="e">
        <f t="shared" si="101"/>
        <v>#N/A</v>
      </c>
      <c r="BR67" s="63" t="e">
        <f t="shared" si="101"/>
        <v>#N/A</v>
      </c>
      <c r="BS67" s="63" t="e">
        <f t="shared" si="101"/>
        <v>#N/A</v>
      </c>
      <c r="BT67" s="63" t="e">
        <f t="shared" si="101"/>
        <v>#N/A</v>
      </c>
      <c r="BU67" s="63" t="e">
        <f t="shared" si="101"/>
        <v>#N/A</v>
      </c>
      <c r="BV67" s="63" t="e">
        <f t="shared" si="101"/>
        <v>#N/A</v>
      </c>
      <c r="BW67" s="63" t="e">
        <f t="shared" si="101"/>
        <v>#N/A</v>
      </c>
      <c r="BX67" s="63" t="e">
        <f t="shared" si="101"/>
        <v>#N/A</v>
      </c>
      <c r="BY67" s="63" t="e">
        <f t="shared" si="101"/>
        <v>#N/A</v>
      </c>
    </row>
    <row r="68" spans="1:77" x14ac:dyDescent="0.5">
      <c r="A68" s="49"/>
      <c r="B68" s="62">
        <v>0.97</v>
      </c>
      <c r="C68" s="62" t="e">
        <f t="shared" si="87"/>
        <v>#DIV/0!</v>
      </c>
      <c r="D68" s="62" t="e">
        <f t="shared" si="88"/>
        <v>#DIV/0!</v>
      </c>
      <c r="E68" s="59">
        <f t="shared" si="92"/>
        <v>97</v>
      </c>
      <c r="F68" s="59" t="e">
        <f t="shared" si="93"/>
        <v>#DIV/0!</v>
      </c>
      <c r="G68" s="59" t="e">
        <f t="shared" si="94"/>
        <v>#DIV/0!</v>
      </c>
      <c r="H68" s="62" t="e">
        <f t="shared" si="90"/>
        <v>#DIV/0!</v>
      </c>
      <c r="I68" s="62" t="e">
        <f t="shared" si="91"/>
        <v>#DIV/0!</v>
      </c>
      <c r="J68" s="62" t="e">
        <f t="shared" si="95"/>
        <v>#DIV/0!</v>
      </c>
      <c r="K68" s="62" t="e">
        <f t="shared" si="96"/>
        <v>#DIV/0!</v>
      </c>
      <c r="L68" s="62" t="e">
        <f t="shared" si="97"/>
        <v>#DIV/0!</v>
      </c>
      <c r="M68" s="62" t="e">
        <f t="shared" si="98"/>
        <v>#DIV/0!</v>
      </c>
      <c r="N68" s="62" t="e">
        <f t="shared" si="99"/>
        <v>#DIV/0!</v>
      </c>
      <c r="O68" s="17" t="e">
        <f>SLOPE(I65:I73,E65:E73)</f>
        <v>#DIV/0!</v>
      </c>
      <c r="P68" s="59" t="s">
        <v>103</v>
      </c>
      <c r="Q68" s="59" t="s">
        <v>95</v>
      </c>
      <c r="R68" s="59"/>
      <c r="T68" s="59" t="s">
        <v>9</v>
      </c>
      <c r="U68" s="62" t="e">
        <f>IF($Z$64=4,AT126,IF($Z$64=5,AT185,U64/2))</f>
        <v>#DIV/0!</v>
      </c>
      <c r="V68" s="12"/>
      <c r="W68" s="12"/>
      <c r="Y68" s="17">
        <v>1</v>
      </c>
      <c r="Z68" s="109" t="s">
        <v>264</v>
      </c>
      <c r="AC68" s="17" t="s">
        <v>236</v>
      </c>
      <c r="AO68" s="12"/>
      <c r="AP68" s="67" t="s">
        <v>0</v>
      </c>
      <c r="AQ68" s="59"/>
      <c r="AR68" s="63" t="str">
        <f t="shared" ref="AR68:BF68" si="103">IF(AR$45=0,AR11,"")</f>
        <v/>
      </c>
      <c r="AS68" s="63" t="str">
        <f t="shared" si="103"/>
        <v/>
      </c>
      <c r="AT68" s="63" t="str">
        <f t="shared" si="103"/>
        <v/>
      </c>
      <c r="AU68" s="63" t="str">
        <f t="shared" si="103"/>
        <v/>
      </c>
      <c r="AV68" s="63" t="str">
        <f t="shared" si="103"/>
        <v/>
      </c>
      <c r="AW68" s="63" t="str">
        <f t="shared" si="103"/>
        <v/>
      </c>
      <c r="AX68" s="63" t="str">
        <f t="shared" si="103"/>
        <v/>
      </c>
      <c r="AY68" s="63" t="str">
        <f t="shared" si="103"/>
        <v/>
      </c>
      <c r="AZ68" s="63" t="str">
        <f t="shared" si="103"/>
        <v/>
      </c>
      <c r="BA68" s="63" t="str">
        <f t="shared" si="103"/>
        <v/>
      </c>
      <c r="BB68" s="63" t="str">
        <f t="shared" si="103"/>
        <v/>
      </c>
      <c r="BC68" s="63" t="str">
        <f t="shared" si="103"/>
        <v/>
      </c>
      <c r="BD68" s="63" t="str">
        <f t="shared" si="103"/>
        <v/>
      </c>
      <c r="BE68" s="63" t="str">
        <f t="shared" si="103"/>
        <v/>
      </c>
      <c r="BF68" s="63" t="str">
        <f t="shared" si="103"/>
        <v/>
      </c>
      <c r="BI68" s="67" t="s">
        <v>0</v>
      </c>
      <c r="BJ68" s="59"/>
      <c r="BK68" s="63" t="e">
        <f t="shared" si="101"/>
        <v>#N/A</v>
      </c>
      <c r="BL68" s="63" t="e">
        <f t="shared" si="101"/>
        <v>#N/A</v>
      </c>
      <c r="BM68" s="63" t="e">
        <f t="shared" si="101"/>
        <v>#N/A</v>
      </c>
      <c r="BN68" s="63" t="e">
        <f t="shared" si="101"/>
        <v>#N/A</v>
      </c>
      <c r="BO68" s="63" t="e">
        <f t="shared" si="101"/>
        <v>#N/A</v>
      </c>
      <c r="BP68" s="63" t="e">
        <f t="shared" si="101"/>
        <v>#N/A</v>
      </c>
      <c r="BQ68" s="63" t="e">
        <f t="shared" si="101"/>
        <v>#N/A</v>
      </c>
      <c r="BR68" s="63" t="e">
        <f t="shared" si="101"/>
        <v>#N/A</v>
      </c>
      <c r="BS68" s="63" t="e">
        <f t="shared" si="101"/>
        <v>#N/A</v>
      </c>
      <c r="BT68" s="63" t="e">
        <f t="shared" si="101"/>
        <v>#N/A</v>
      </c>
      <c r="BU68" s="63" t="e">
        <f t="shared" si="101"/>
        <v>#N/A</v>
      </c>
      <c r="BV68" s="63" t="e">
        <f t="shared" si="101"/>
        <v>#N/A</v>
      </c>
      <c r="BW68" s="63" t="e">
        <f t="shared" si="101"/>
        <v>#N/A</v>
      </c>
      <c r="BX68" s="63" t="e">
        <f t="shared" si="101"/>
        <v>#N/A</v>
      </c>
      <c r="BY68" s="63" t="e">
        <f t="shared" si="101"/>
        <v>#N/A</v>
      </c>
    </row>
    <row r="69" spans="1:77" x14ac:dyDescent="0.5">
      <c r="A69" s="49"/>
      <c r="B69" s="62">
        <v>0.96</v>
      </c>
      <c r="C69" s="62" t="e">
        <f t="shared" si="87"/>
        <v>#DIV/0!</v>
      </c>
      <c r="D69" s="62" t="e">
        <f t="shared" si="88"/>
        <v>#DIV/0!</v>
      </c>
      <c r="E69" s="59">
        <f t="shared" si="92"/>
        <v>96</v>
      </c>
      <c r="F69" s="59" t="e">
        <f t="shared" si="93"/>
        <v>#DIV/0!</v>
      </c>
      <c r="G69" s="59" t="e">
        <f t="shared" si="94"/>
        <v>#DIV/0!</v>
      </c>
      <c r="H69" s="62" t="e">
        <f t="shared" si="90"/>
        <v>#DIV/0!</v>
      </c>
      <c r="I69" s="62" t="e">
        <f t="shared" si="91"/>
        <v>#DIV/0!</v>
      </c>
      <c r="J69" s="62" t="e">
        <f t="shared" si="95"/>
        <v>#DIV/0!</v>
      </c>
      <c r="K69" s="62" t="e">
        <f t="shared" si="96"/>
        <v>#DIV/0!</v>
      </c>
      <c r="L69" s="62" t="e">
        <f t="shared" si="97"/>
        <v>#DIV/0!</v>
      </c>
      <c r="M69" s="62" t="e">
        <f t="shared" si="98"/>
        <v>#DIV/0!</v>
      </c>
      <c r="N69" s="62" t="e">
        <f t="shared" si="99"/>
        <v>#DIV/0!</v>
      </c>
      <c r="O69" s="17" t="e">
        <f>SLOPE(I65:I74,E65:E74)</f>
        <v>#DIV/0!</v>
      </c>
      <c r="P69" s="61">
        <v>100</v>
      </c>
      <c r="Q69" s="61">
        <v>0</v>
      </c>
      <c r="R69" s="61">
        <v>0</v>
      </c>
      <c r="T69" s="59" t="s">
        <v>10</v>
      </c>
      <c r="U69" s="62" t="e">
        <f>IF($Z$64=4,AT127,IF($Z$64=5,AT186,U66/2))</f>
        <v>#DIV/0!</v>
      </c>
      <c r="V69" s="12"/>
      <c r="W69" s="12"/>
      <c r="Y69" s="17">
        <v>2</v>
      </c>
      <c r="Z69" s="109" t="s">
        <v>265</v>
      </c>
      <c r="AC69" s="17" t="s">
        <v>267</v>
      </c>
    </row>
    <row r="70" spans="1:77" x14ac:dyDescent="0.5">
      <c r="A70" s="49"/>
      <c r="B70" s="62">
        <v>0.95</v>
      </c>
      <c r="C70" s="62" t="e">
        <f t="shared" si="87"/>
        <v>#DIV/0!</v>
      </c>
      <c r="D70" s="62" t="e">
        <f t="shared" si="88"/>
        <v>#DIV/0!</v>
      </c>
      <c r="E70" s="59">
        <f t="shared" si="92"/>
        <v>95</v>
      </c>
      <c r="F70" s="59" t="e">
        <f t="shared" si="93"/>
        <v>#DIV/0!</v>
      </c>
      <c r="G70" s="59" t="e">
        <f t="shared" si="94"/>
        <v>#DIV/0!</v>
      </c>
      <c r="H70" s="62" t="e">
        <f t="shared" si="90"/>
        <v>#DIV/0!</v>
      </c>
      <c r="I70" s="62" t="e">
        <f t="shared" si="91"/>
        <v>#DIV/0!</v>
      </c>
      <c r="J70" s="62" t="e">
        <f t="shared" si="95"/>
        <v>#DIV/0!</v>
      </c>
      <c r="K70" s="62" t="e">
        <f t="shared" si="96"/>
        <v>#DIV/0!</v>
      </c>
      <c r="L70" s="62" t="e">
        <f t="shared" si="97"/>
        <v>#DIV/0!</v>
      </c>
      <c r="M70" s="62" t="e">
        <f t="shared" si="98"/>
        <v>#DIV/0!</v>
      </c>
      <c r="N70" s="62" t="e">
        <f t="shared" si="99"/>
        <v>#DIV/0!</v>
      </c>
      <c r="O70" s="17" t="e">
        <f>SLOPE(I65:I75,E65:E75)</f>
        <v>#DIV/0!</v>
      </c>
      <c r="P70" s="61">
        <v>0</v>
      </c>
      <c r="Q70" s="61" t="e">
        <f>Q66/U66*100</f>
        <v>#DIV/0!</v>
      </c>
      <c r="R70" s="61">
        <v>0</v>
      </c>
      <c r="T70" s="59" t="s">
        <v>70</v>
      </c>
      <c r="U70" s="62" t="e">
        <f>IF($Z$64=4,AT116,IF($Z$64=5,AT175,NA()))</f>
        <v>#N/A</v>
      </c>
      <c r="V70" s="12"/>
      <c r="W70" s="12"/>
      <c r="Y70" s="17">
        <v>3</v>
      </c>
      <c r="Z70" s="109" t="s">
        <v>266</v>
      </c>
      <c r="AC70" s="17" t="s">
        <v>268</v>
      </c>
      <c r="AP70" s="53" t="s">
        <v>81</v>
      </c>
    </row>
    <row r="71" spans="1:77" x14ac:dyDescent="0.5">
      <c r="A71" s="49"/>
      <c r="B71" s="62">
        <v>0.94</v>
      </c>
      <c r="C71" s="62" t="e">
        <f t="shared" si="87"/>
        <v>#DIV/0!</v>
      </c>
      <c r="D71" s="62" t="e">
        <f t="shared" si="88"/>
        <v>#DIV/0!</v>
      </c>
      <c r="E71" s="59">
        <f t="shared" si="92"/>
        <v>94</v>
      </c>
      <c r="F71" s="59" t="e">
        <f t="shared" si="93"/>
        <v>#DIV/0!</v>
      </c>
      <c r="G71" s="59" t="e">
        <f t="shared" si="94"/>
        <v>#DIV/0!</v>
      </c>
      <c r="H71" s="62" t="e">
        <f t="shared" si="90"/>
        <v>#DIV/0!</v>
      </c>
      <c r="I71" s="62" t="e">
        <f t="shared" si="91"/>
        <v>#DIV/0!</v>
      </c>
      <c r="J71" s="62" t="e">
        <f t="shared" si="95"/>
        <v>#DIV/0!</v>
      </c>
      <c r="K71" s="62" t="e">
        <f t="shared" si="96"/>
        <v>#DIV/0!</v>
      </c>
      <c r="L71" s="62" t="e">
        <f t="shared" si="97"/>
        <v>#DIV/0!</v>
      </c>
      <c r="M71" s="62" t="e">
        <f t="shared" si="98"/>
        <v>#DIV/0!</v>
      </c>
      <c r="N71" s="62" t="e">
        <f t="shared" si="99"/>
        <v>#DIV/0!</v>
      </c>
      <c r="O71" s="17" t="e">
        <f>SLOPE(I66:I76,E66:E76)</f>
        <v>#DIV/0!</v>
      </c>
      <c r="P71" s="61">
        <v>50</v>
      </c>
      <c r="Q71" s="61" t="e">
        <f>Q67/U66*100</f>
        <v>#DIV/0!</v>
      </c>
      <c r="R71" s="61">
        <v>100</v>
      </c>
      <c r="T71" s="59" t="s">
        <v>63</v>
      </c>
      <c r="U71" s="62" t="e">
        <f>IF($Z$64=4,AT117,IF($Z$64=5,AT176,NA()))</f>
        <v>#N/A</v>
      </c>
      <c r="V71" s="12"/>
      <c r="W71" s="12"/>
      <c r="Y71" s="17">
        <v>4</v>
      </c>
      <c r="Z71" s="109" t="s">
        <v>239</v>
      </c>
      <c r="AC71" s="17" t="s">
        <v>237</v>
      </c>
      <c r="AP71" s="59" t="s">
        <v>82</v>
      </c>
      <c r="AQ71" s="62"/>
      <c r="AR71" s="63" t="str">
        <f>IF(AR49="","",AR49)</f>
        <v/>
      </c>
      <c r="AS71" s="63" t="str">
        <f t="shared" ref="AS71:AZ71" si="104">IF(AS49="","",AS49)</f>
        <v/>
      </c>
      <c r="AT71" s="63" t="str">
        <f t="shared" si="104"/>
        <v/>
      </c>
      <c r="AU71" s="63" t="str">
        <f t="shared" si="104"/>
        <v/>
      </c>
      <c r="AV71" s="63" t="str">
        <f t="shared" si="104"/>
        <v/>
      </c>
      <c r="AW71" s="63" t="str">
        <f t="shared" si="104"/>
        <v/>
      </c>
      <c r="AX71" s="63" t="str">
        <f t="shared" si="104"/>
        <v/>
      </c>
      <c r="AY71" s="63" t="str">
        <f t="shared" si="104"/>
        <v/>
      </c>
      <c r="AZ71" s="63" t="str">
        <f t="shared" si="104"/>
        <v/>
      </c>
      <c r="BA71" s="63" t="str">
        <f t="shared" ref="BA71:BF71" si="105">IF(BA49="","",BA49)</f>
        <v/>
      </c>
      <c r="BB71" s="63" t="str">
        <f t="shared" si="105"/>
        <v/>
      </c>
      <c r="BC71" s="63" t="str">
        <f t="shared" si="105"/>
        <v/>
      </c>
      <c r="BD71" s="63" t="str">
        <f t="shared" si="105"/>
        <v/>
      </c>
      <c r="BE71" s="63" t="str">
        <f t="shared" si="105"/>
        <v/>
      </c>
      <c r="BF71" s="63" t="str">
        <f t="shared" si="105"/>
        <v/>
      </c>
    </row>
    <row r="72" spans="1:77" x14ac:dyDescent="0.5">
      <c r="A72" s="49"/>
      <c r="B72" s="62">
        <v>0.93</v>
      </c>
      <c r="C72" s="62" t="e">
        <f t="shared" si="87"/>
        <v>#DIV/0!</v>
      </c>
      <c r="D72" s="62" t="e">
        <f t="shared" si="88"/>
        <v>#DIV/0!</v>
      </c>
      <c r="E72" s="59">
        <f t="shared" si="92"/>
        <v>93</v>
      </c>
      <c r="F72" s="59" t="e">
        <f t="shared" si="93"/>
        <v>#DIV/0!</v>
      </c>
      <c r="G72" s="59" t="e">
        <f t="shared" si="94"/>
        <v>#DIV/0!</v>
      </c>
      <c r="H72" s="62" t="e">
        <f t="shared" si="90"/>
        <v>#DIV/0!</v>
      </c>
      <c r="I72" s="62" t="e">
        <f t="shared" si="91"/>
        <v>#DIV/0!</v>
      </c>
      <c r="J72" s="62" t="e">
        <f t="shared" si="95"/>
        <v>#DIV/0!</v>
      </c>
      <c r="K72" s="62" t="e">
        <f t="shared" si="96"/>
        <v>#DIV/0!</v>
      </c>
      <c r="L72" s="62" t="e">
        <f t="shared" si="97"/>
        <v>#DIV/0!</v>
      </c>
      <c r="M72" s="62" t="e">
        <f t="shared" si="98"/>
        <v>#DIV/0!</v>
      </c>
      <c r="N72" s="62" t="e">
        <f t="shared" si="99"/>
        <v>#DIV/0!</v>
      </c>
      <c r="O72" s="17" t="e">
        <f t="shared" ref="O72:O135" si="106">SLOPE(I67:I77,E67:E77)</f>
        <v>#DIV/0!</v>
      </c>
      <c r="R72" s="12"/>
      <c r="T72" s="59" t="s">
        <v>64</v>
      </c>
      <c r="U72" s="62" t="e">
        <f>IF($Z$64=4,AT118,IF($Z$64=5,AT177,NA()))</f>
        <v>#N/A</v>
      </c>
      <c r="V72" s="12"/>
      <c r="W72" s="12"/>
      <c r="Y72" s="17">
        <v>5</v>
      </c>
      <c r="Z72" s="109" t="s">
        <v>240</v>
      </c>
      <c r="AC72" s="17" t="s">
        <v>238</v>
      </c>
      <c r="AP72" s="59" t="s">
        <v>83</v>
      </c>
      <c r="AQ72" s="62"/>
      <c r="AR72" s="63" t="str">
        <f>IF(AR49="","",AR57)</f>
        <v/>
      </c>
      <c r="AS72" s="63" t="str">
        <f t="shared" ref="AS72:AZ72" si="107">IF(AS49="","",AS57)</f>
        <v/>
      </c>
      <c r="AT72" s="63" t="str">
        <f t="shared" si="107"/>
        <v/>
      </c>
      <c r="AU72" s="63" t="str">
        <f t="shared" si="107"/>
        <v/>
      </c>
      <c r="AV72" s="63" t="str">
        <f t="shared" si="107"/>
        <v/>
      </c>
      <c r="AW72" s="63" t="str">
        <f t="shared" si="107"/>
        <v/>
      </c>
      <c r="AX72" s="63" t="str">
        <f t="shared" si="107"/>
        <v/>
      </c>
      <c r="AY72" s="63" t="str">
        <f t="shared" si="107"/>
        <v/>
      </c>
      <c r="AZ72" s="63" t="str">
        <f t="shared" si="107"/>
        <v/>
      </c>
      <c r="BA72" s="63" t="str">
        <f t="shared" ref="BA72:BF72" si="108">IF(BA49="","",BA57)</f>
        <v/>
      </c>
      <c r="BB72" s="63" t="str">
        <f t="shared" si="108"/>
        <v/>
      </c>
      <c r="BC72" s="63" t="str">
        <f t="shared" si="108"/>
        <v/>
      </c>
      <c r="BD72" s="63" t="str">
        <f t="shared" si="108"/>
        <v/>
      </c>
      <c r="BE72" s="63" t="str">
        <f t="shared" si="108"/>
        <v/>
      </c>
      <c r="BF72" s="63" t="str">
        <f t="shared" si="108"/>
        <v/>
      </c>
    </row>
    <row r="73" spans="1:77" x14ac:dyDescent="0.5">
      <c r="A73" s="49"/>
      <c r="B73" s="62">
        <v>0.92</v>
      </c>
      <c r="C73" s="62" t="e">
        <f t="shared" si="87"/>
        <v>#DIV/0!</v>
      </c>
      <c r="D73" s="62" t="e">
        <f t="shared" si="88"/>
        <v>#DIV/0!</v>
      </c>
      <c r="E73" s="59">
        <f t="shared" si="92"/>
        <v>92</v>
      </c>
      <c r="F73" s="59" t="e">
        <f t="shared" si="93"/>
        <v>#DIV/0!</v>
      </c>
      <c r="G73" s="59" t="e">
        <f t="shared" si="94"/>
        <v>#DIV/0!</v>
      </c>
      <c r="H73" s="62" t="e">
        <f t="shared" si="90"/>
        <v>#DIV/0!</v>
      </c>
      <c r="I73" s="62" t="e">
        <f t="shared" si="91"/>
        <v>#DIV/0!</v>
      </c>
      <c r="J73" s="62" t="e">
        <f t="shared" si="95"/>
        <v>#DIV/0!</v>
      </c>
      <c r="K73" s="62" t="e">
        <f t="shared" si="96"/>
        <v>#DIV/0!</v>
      </c>
      <c r="L73" s="62" t="e">
        <f t="shared" si="97"/>
        <v>#DIV/0!</v>
      </c>
      <c r="M73" s="62" t="e">
        <f t="shared" si="98"/>
        <v>#DIV/0!</v>
      </c>
      <c r="N73" s="62" t="e">
        <f t="shared" si="99"/>
        <v>#DIV/0!</v>
      </c>
      <c r="O73" s="17" t="e">
        <f t="shared" si="106"/>
        <v>#DIV/0!</v>
      </c>
      <c r="R73" s="12"/>
      <c r="T73" s="59" t="s">
        <v>65</v>
      </c>
      <c r="U73" s="62" t="e">
        <f>IF($Z$64=4,AT121,IF($Z$64=5,AT180,NA()))</f>
        <v>#N/A</v>
      </c>
      <c r="V73" s="12"/>
      <c r="W73" s="12"/>
      <c r="Z73" s="110" t="s">
        <v>235</v>
      </c>
      <c r="AA73" s="111"/>
      <c r="AB73" s="112"/>
      <c r="AP73" s="59" t="s">
        <v>84</v>
      </c>
      <c r="AQ73" s="59"/>
      <c r="AR73" s="63" t="str">
        <f>IF(AR71="","",(AR71-AR72)^2)</f>
        <v/>
      </c>
      <c r="AS73" s="63" t="str">
        <f t="shared" ref="AS73:AZ73" si="109">IF(AS71="","",(AS71-AS72)^2)</f>
        <v/>
      </c>
      <c r="AT73" s="63" t="str">
        <f t="shared" si="109"/>
        <v/>
      </c>
      <c r="AU73" s="63" t="str">
        <f t="shared" si="109"/>
        <v/>
      </c>
      <c r="AV73" s="63" t="str">
        <f t="shared" si="109"/>
        <v/>
      </c>
      <c r="AW73" s="63" t="str">
        <f t="shared" si="109"/>
        <v/>
      </c>
      <c r="AX73" s="63" t="str">
        <f t="shared" si="109"/>
        <v/>
      </c>
      <c r="AY73" s="63" t="str">
        <f t="shared" si="109"/>
        <v/>
      </c>
      <c r="AZ73" s="63" t="str">
        <f t="shared" si="109"/>
        <v/>
      </c>
      <c r="BA73" s="63" t="str">
        <f t="shared" ref="BA73:BF73" si="110">IF(BA71="","",(BA71-BA72)^2)</f>
        <v/>
      </c>
      <c r="BB73" s="63" t="str">
        <f t="shared" si="110"/>
        <v/>
      </c>
      <c r="BC73" s="63" t="str">
        <f t="shared" si="110"/>
        <v/>
      </c>
      <c r="BD73" s="63" t="str">
        <f t="shared" si="110"/>
        <v/>
      </c>
      <c r="BE73" s="63" t="str">
        <f t="shared" si="110"/>
        <v/>
      </c>
      <c r="BF73" s="63" t="str">
        <f t="shared" si="110"/>
        <v/>
      </c>
    </row>
    <row r="74" spans="1:77" x14ac:dyDescent="0.5">
      <c r="A74" s="49"/>
      <c r="B74" s="62">
        <v>0.91</v>
      </c>
      <c r="C74" s="62" t="e">
        <f t="shared" si="87"/>
        <v>#DIV/0!</v>
      </c>
      <c r="D74" s="62" t="e">
        <f t="shared" si="88"/>
        <v>#DIV/0!</v>
      </c>
      <c r="E74" s="59">
        <f t="shared" si="92"/>
        <v>91</v>
      </c>
      <c r="F74" s="59" t="e">
        <f t="shared" si="93"/>
        <v>#DIV/0!</v>
      </c>
      <c r="G74" s="59" t="e">
        <f t="shared" si="94"/>
        <v>#DIV/0!</v>
      </c>
      <c r="H74" s="62" t="e">
        <f t="shared" si="90"/>
        <v>#DIV/0!</v>
      </c>
      <c r="I74" s="62" t="e">
        <f t="shared" si="91"/>
        <v>#DIV/0!</v>
      </c>
      <c r="J74" s="62" t="e">
        <f t="shared" si="95"/>
        <v>#DIV/0!</v>
      </c>
      <c r="K74" s="62" t="e">
        <f t="shared" si="96"/>
        <v>#DIV/0!</v>
      </c>
      <c r="L74" s="62" t="e">
        <f t="shared" si="97"/>
        <v>#DIV/0!</v>
      </c>
      <c r="M74" s="62" t="e">
        <f t="shared" si="98"/>
        <v>#DIV/0!</v>
      </c>
      <c r="N74" s="62" t="e">
        <f t="shared" si="99"/>
        <v>#DIV/0!</v>
      </c>
      <c r="O74" s="17" t="e">
        <f t="shared" si="106"/>
        <v>#DIV/0!</v>
      </c>
      <c r="R74" s="12"/>
      <c r="T74" s="59" t="s">
        <v>66</v>
      </c>
      <c r="U74" s="62" t="e">
        <f>IF($Z$64=4,AT122,IF($Z$64=5,AT181,NA()))</f>
        <v>#N/A</v>
      </c>
      <c r="V74" s="12"/>
      <c r="W74" s="12"/>
      <c r="Z74" s="118" t="s">
        <v>265</v>
      </c>
      <c r="AA74" s="113"/>
      <c r="AB74" s="114"/>
    </row>
    <row r="75" spans="1:77" x14ac:dyDescent="0.5">
      <c r="A75" s="49"/>
      <c r="B75" s="62">
        <v>0.9</v>
      </c>
      <c r="C75" s="62" t="e">
        <f t="shared" si="87"/>
        <v>#DIV/0!</v>
      </c>
      <c r="D75" s="62" t="e">
        <f t="shared" si="88"/>
        <v>#DIV/0!</v>
      </c>
      <c r="E75" s="59">
        <f t="shared" si="92"/>
        <v>90</v>
      </c>
      <c r="F75" s="59" t="e">
        <f t="shared" si="93"/>
        <v>#DIV/0!</v>
      </c>
      <c r="G75" s="59" t="e">
        <f t="shared" si="94"/>
        <v>#DIV/0!</v>
      </c>
      <c r="H75" s="62" t="e">
        <f t="shared" si="90"/>
        <v>#DIV/0!</v>
      </c>
      <c r="I75" s="62" t="e">
        <f t="shared" si="91"/>
        <v>#DIV/0!</v>
      </c>
      <c r="J75" s="62" t="e">
        <f t="shared" si="95"/>
        <v>#DIV/0!</v>
      </c>
      <c r="K75" s="62" t="e">
        <f t="shared" si="96"/>
        <v>#DIV/0!</v>
      </c>
      <c r="L75" s="62" t="e">
        <f t="shared" si="97"/>
        <v>#DIV/0!</v>
      </c>
      <c r="M75" s="62" t="e">
        <f t="shared" si="98"/>
        <v>#DIV/0!</v>
      </c>
      <c r="N75" s="62" t="e">
        <f t="shared" si="99"/>
        <v>#DIV/0!</v>
      </c>
      <c r="O75" s="17" t="e">
        <f t="shared" si="106"/>
        <v>#DIV/0!</v>
      </c>
      <c r="R75" s="12"/>
      <c r="T75" s="59" t="s">
        <v>86</v>
      </c>
      <c r="U75" s="62" t="e">
        <f>-U64/U65</f>
        <v>#DIV/0!</v>
      </c>
      <c r="AO75" s="12" t="s">
        <v>55</v>
      </c>
      <c r="AP75" s="53" t="s">
        <v>60</v>
      </c>
      <c r="AR75" s="52" t="s">
        <v>110</v>
      </c>
      <c r="BI75" s="53" t="s">
        <v>60</v>
      </c>
    </row>
    <row r="76" spans="1:77" x14ac:dyDescent="0.5">
      <c r="A76" s="49"/>
      <c r="B76" s="62">
        <v>0.89</v>
      </c>
      <c r="C76" s="62" t="e">
        <f t="shared" si="87"/>
        <v>#DIV/0!</v>
      </c>
      <c r="D76" s="62" t="e">
        <f t="shared" si="88"/>
        <v>#DIV/0!</v>
      </c>
      <c r="E76" s="59">
        <f t="shared" si="92"/>
        <v>89</v>
      </c>
      <c r="F76" s="59" t="e">
        <f t="shared" si="93"/>
        <v>#DIV/0!</v>
      </c>
      <c r="G76" s="59" t="e">
        <f t="shared" si="94"/>
        <v>#DIV/0!</v>
      </c>
      <c r="H76" s="62" t="e">
        <f t="shared" si="90"/>
        <v>#DIV/0!</v>
      </c>
      <c r="I76" s="62" t="e">
        <f t="shared" si="91"/>
        <v>#DIV/0!</v>
      </c>
      <c r="J76" s="62" t="e">
        <f t="shared" si="95"/>
        <v>#DIV/0!</v>
      </c>
      <c r="K76" s="62" t="e">
        <f t="shared" si="96"/>
        <v>#DIV/0!</v>
      </c>
      <c r="L76" s="62" t="e">
        <f t="shared" si="97"/>
        <v>#DIV/0!</v>
      </c>
      <c r="M76" s="62" t="e">
        <f t="shared" si="98"/>
        <v>#DIV/0!</v>
      </c>
      <c r="N76" s="62" t="e">
        <f t="shared" si="99"/>
        <v>#DIV/0!</v>
      </c>
      <c r="O76" s="17" t="e">
        <f t="shared" si="106"/>
        <v>#DIV/0!</v>
      </c>
      <c r="R76" s="12"/>
      <c r="T76" s="59" t="s">
        <v>92</v>
      </c>
      <c r="U76" s="62" t="e">
        <f>U64*U75/4</f>
        <v>#DIV/0!</v>
      </c>
      <c r="AO76" s="12"/>
      <c r="AP76" s="59" t="s">
        <v>111</v>
      </c>
      <c r="AQ76" s="59"/>
      <c r="AR76" s="81" t="str">
        <f>IF(AR49="","",AR49-AR57)</f>
        <v/>
      </c>
      <c r="AS76" s="81" t="str">
        <f t="shared" ref="AS76:AZ76" si="111">IF(AS49="","",AS49-AS57)</f>
        <v/>
      </c>
      <c r="AT76" s="81" t="str">
        <f t="shared" si="111"/>
        <v/>
      </c>
      <c r="AU76" s="81" t="str">
        <f t="shared" si="111"/>
        <v/>
      </c>
      <c r="AV76" s="81" t="str">
        <f t="shared" si="111"/>
        <v/>
      </c>
      <c r="AW76" s="81" t="str">
        <f t="shared" si="111"/>
        <v/>
      </c>
      <c r="AX76" s="81" t="str">
        <f t="shared" si="111"/>
        <v/>
      </c>
      <c r="AY76" s="81" t="str">
        <f t="shared" si="111"/>
        <v/>
      </c>
      <c r="AZ76" s="81" t="str">
        <f t="shared" si="111"/>
        <v/>
      </c>
      <c r="BA76" s="81" t="str">
        <f t="shared" ref="BA76:BF76" si="112">IF(BA49="","",BA49-BA57)</f>
        <v/>
      </c>
      <c r="BB76" s="81" t="str">
        <f t="shared" si="112"/>
        <v/>
      </c>
      <c r="BC76" s="81" t="str">
        <f t="shared" si="112"/>
        <v/>
      </c>
      <c r="BD76" s="81" t="str">
        <f t="shared" si="112"/>
        <v/>
      </c>
      <c r="BE76" s="81" t="str">
        <f t="shared" si="112"/>
        <v/>
      </c>
      <c r="BF76" s="81" t="str">
        <f t="shared" si="112"/>
        <v/>
      </c>
      <c r="BI76" s="59" t="s">
        <v>57</v>
      </c>
      <c r="BJ76" s="59"/>
      <c r="BK76" s="63" t="e">
        <f t="shared" ref="BK76:BS76" si="113">IF(AR49="",NA(),AR49-AR57)</f>
        <v>#N/A</v>
      </c>
      <c r="BL76" s="63" t="e">
        <f t="shared" si="113"/>
        <v>#N/A</v>
      </c>
      <c r="BM76" s="63" t="e">
        <f t="shared" si="113"/>
        <v>#N/A</v>
      </c>
      <c r="BN76" s="63" t="e">
        <f t="shared" si="113"/>
        <v>#N/A</v>
      </c>
      <c r="BO76" s="63" t="e">
        <f t="shared" si="113"/>
        <v>#N/A</v>
      </c>
      <c r="BP76" s="63" t="e">
        <f t="shared" si="113"/>
        <v>#N/A</v>
      </c>
      <c r="BQ76" s="63" t="e">
        <f t="shared" si="113"/>
        <v>#N/A</v>
      </c>
      <c r="BR76" s="63" t="e">
        <f t="shared" si="113"/>
        <v>#N/A</v>
      </c>
      <c r="BS76" s="63" t="e">
        <f t="shared" si="113"/>
        <v>#N/A</v>
      </c>
      <c r="BT76" s="63" t="e">
        <f t="shared" ref="BT76:BY76" si="114">IF(BA49="",NA(),BA49-BA57)</f>
        <v>#N/A</v>
      </c>
      <c r="BU76" s="63" t="e">
        <f t="shared" si="114"/>
        <v>#N/A</v>
      </c>
      <c r="BV76" s="63" t="e">
        <f t="shared" si="114"/>
        <v>#N/A</v>
      </c>
      <c r="BW76" s="63" t="e">
        <f t="shared" si="114"/>
        <v>#N/A</v>
      </c>
      <c r="BX76" s="63" t="e">
        <f t="shared" si="114"/>
        <v>#N/A</v>
      </c>
      <c r="BY76" s="63" t="e">
        <f t="shared" si="114"/>
        <v>#N/A</v>
      </c>
    </row>
    <row r="77" spans="1:77" x14ac:dyDescent="0.5">
      <c r="A77" s="49"/>
      <c r="B77" s="62">
        <v>0.88</v>
      </c>
      <c r="C77" s="62" t="e">
        <f t="shared" si="87"/>
        <v>#DIV/0!</v>
      </c>
      <c r="D77" s="62" t="e">
        <f t="shared" si="88"/>
        <v>#DIV/0!</v>
      </c>
      <c r="E77" s="59">
        <f t="shared" si="92"/>
        <v>88</v>
      </c>
      <c r="F77" s="59" t="e">
        <f t="shared" si="93"/>
        <v>#DIV/0!</v>
      </c>
      <c r="G77" s="59" t="e">
        <f t="shared" si="94"/>
        <v>#DIV/0!</v>
      </c>
      <c r="H77" s="62" t="e">
        <f t="shared" si="90"/>
        <v>#DIV/0!</v>
      </c>
      <c r="I77" s="62" t="e">
        <f t="shared" si="91"/>
        <v>#DIV/0!</v>
      </c>
      <c r="J77" s="62" t="e">
        <f t="shared" si="95"/>
        <v>#DIV/0!</v>
      </c>
      <c r="K77" s="62" t="e">
        <f t="shared" si="96"/>
        <v>#DIV/0!</v>
      </c>
      <c r="L77" s="62" t="e">
        <f t="shared" si="97"/>
        <v>#DIV/0!</v>
      </c>
      <c r="M77" s="62" t="e">
        <f t="shared" si="98"/>
        <v>#DIV/0!</v>
      </c>
      <c r="N77" s="62" t="e">
        <f t="shared" si="99"/>
        <v>#DIV/0!</v>
      </c>
      <c r="O77" s="17" t="e">
        <f t="shared" si="106"/>
        <v>#DIV/0!</v>
      </c>
      <c r="R77" s="12"/>
      <c r="T77" s="59" t="s">
        <v>94</v>
      </c>
      <c r="U77" s="62" t="e">
        <f>U64/2</f>
        <v>#DIV/0!</v>
      </c>
      <c r="AO77" s="12"/>
      <c r="AP77" s="59" t="s">
        <v>58</v>
      </c>
      <c r="AQ77" s="59"/>
      <c r="AR77" s="81" t="str">
        <f t="shared" ref="AR77:AZ77" si="115">IF(AR49="","",ABS(AR76))</f>
        <v/>
      </c>
      <c r="AS77" s="81" t="str">
        <f t="shared" si="115"/>
        <v/>
      </c>
      <c r="AT77" s="81" t="str">
        <f t="shared" si="115"/>
        <v/>
      </c>
      <c r="AU77" s="81" t="str">
        <f t="shared" si="115"/>
        <v/>
      </c>
      <c r="AV77" s="81" t="str">
        <f t="shared" si="115"/>
        <v/>
      </c>
      <c r="AW77" s="81" t="str">
        <f t="shared" si="115"/>
        <v/>
      </c>
      <c r="AX77" s="81" t="str">
        <f t="shared" si="115"/>
        <v/>
      </c>
      <c r="AY77" s="81" t="str">
        <f t="shared" si="115"/>
        <v/>
      </c>
      <c r="AZ77" s="81" t="str">
        <f t="shared" si="115"/>
        <v/>
      </c>
      <c r="BA77" s="81" t="str">
        <f t="shared" ref="BA77:BF77" si="116">IF(BA49="","",ABS(BA76))</f>
        <v/>
      </c>
      <c r="BB77" s="81" t="str">
        <f t="shared" si="116"/>
        <v/>
      </c>
      <c r="BC77" s="81" t="str">
        <f t="shared" si="116"/>
        <v/>
      </c>
      <c r="BD77" s="81" t="str">
        <f t="shared" si="116"/>
        <v/>
      </c>
      <c r="BE77" s="81" t="str">
        <f t="shared" si="116"/>
        <v/>
      </c>
      <c r="BF77" s="81" t="str">
        <f t="shared" si="116"/>
        <v/>
      </c>
      <c r="BI77" s="59" t="s">
        <v>58</v>
      </c>
      <c r="BJ77" s="59"/>
      <c r="BK77" s="63" t="e">
        <f t="shared" ref="BK77:BS77" si="117">IF(AR49="",NA(),ABS(AR76))</f>
        <v>#N/A</v>
      </c>
      <c r="BL77" s="63" t="e">
        <f t="shared" si="117"/>
        <v>#N/A</v>
      </c>
      <c r="BM77" s="63" t="e">
        <f t="shared" si="117"/>
        <v>#N/A</v>
      </c>
      <c r="BN77" s="63" t="e">
        <f t="shared" si="117"/>
        <v>#N/A</v>
      </c>
      <c r="BO77" s="63" t="e">
        <f t="shared" si="117"/>
        <v>#N/A</v>
      </c>
      <c r="BP77" s="63" t="e">
        <f t="shared" si="117"/>
        <v>#N/A</v>
      </c>
      <c r="BQ77" s="63" t="e">
        <f t="shared" si="117"/>
        <v>#N/A</v>
      </c>
      <c r="BR77" s="63" t="e">
        <f t="shared" si="117"/>
        <v>#N/A</v>
      </c>
      <c r="BS77" s="63" t="e">
        <f t="shared" si="117"/>
        <v>#N/A</v>
      </c>
      <c r="BT77" s="63" t="e">
        <f t="shared" ref="BT77:BY77" si="118">IF(BA49="",NA(),ABS(BA76))</f>
        <v>#N/A</v>
      </c>
      <c r="BU77" s="63" t="e">
        <f t="shared" si="118"/>
        <v>#N/A</v>
      </c>
      <c r="BV77" s="63" t="e">
        <f t="shared" si="118"/>
        <v>#N/A</v>
      </c>
      <c r="BW77" s="63" t="e">
        <f t="shared" si="118"/>
        <v>#N/A</v>
      </c>
      <c r="BX77" s="63" t="e">
        <f t="shared" si="118"/>
        <v>#N/A</v>
      </c>
      <c r="BY77" s="63" t="e">
        <f t="shared" si="118"/>
        <v>#N/A</v>
      </c>
    </row>
    <row r="78" spans="1:77" x14ac:dyDescent="0.5">
      <c r="A78" s="49"/>
      <c r="B78" s="62">
        <v>0.87</v>
      </c>
      <c r="C78" s="62" t="e">
        <f t="shared" si="87"/>
        <v>#DIV/0!</v>
      </c>
      <c r="D78" s="62" t="e">
        <f t="shared" si="88"/>
        <v>#DIV/0!</v>
      </c>
      <c r="E78" s="59">
        <f t="shared" si="92"/>
        <v>87</v>
      </c>
      <c r="F78" s="59" t="e">
        <f t="shared" si="93"/>
        <v>#DIV/0!</v>
      </c>
      <c r="G78" s="59" t="e">
        <f t="shared" si="94"/>
        <v>#DIV/0!</v>
      </c>
      <c r="H78" s="62" t="e">
        <f t="shared" si="90"/>
        <v>#DIV/0!</v>
      </c>
      <c r="I78" s="62" t="e">
        <f t="shared" si="91"/>
        <v>#DIV/0!</v>
      </c>
      <c r="J78" s="62" t="e">
        <f t="shared" si="95"/>
        <v>#DIV/0!</v>
      </c>
      <c r="K78" s="62" t="e">
        <f t="shared" si="96"/>
        <v>#DIV/0!</v>
      </c>
      <c r="L78" s="62" t="e">
        <f t="shared" si="97"/>
        <v>#DIV/0!</v>
      </c>
      <c r="M78" s="62" t="e">
        <f t="shared" si="98"/>
        <v>#DIV/0!</v>
      </c>
      <c r="N78" s="62" t="e">
        <f t="shared" si="99"/>
        <v>#DIV/0!</v>
      </c>
      <c r="O78" s="17" t="e">
        <f t="shared" si="106"/>
        <v>#DIV/0!</v>
      </c>
      <c r="Q78" s="115"/>
      <c r="R78" s="12"/>
      <c r="T78" s="59" t="s">
        <v>93</v>
      </c>
      <c r="U78" s="62" t="e">
        <f>U66/2</f>
        <v>#DIV/0!</v>
      </c>
      <c r="AO78" s="12"/>
      <c r="AP78" s="59" t="s">
        <v>56</v>
      </c>
      <c r="AQ78" s="59"/>
      <c r="AR78" s="63" t="str">
        <f t="shared" ref="AR78:AZ78" si="119">IF(AR76="","",IF(AR76&lt;-$AP$4,0,1))</f>
        <v/>
      </c>
      <c r="AS78" s="63" t="str">
        <f t="shared" si="119"/>
        <v/>
      </c>
      <c r="AT78" s="63" t="str">
        <f t="shared" si="119"/>
        <v/>
      </c>
      <c r="AU78" s="63" t="str">
        <f t="shared" si="119"/>
        <v/>
      </c>
      <c r="AV78" s="63" t="str">
        <f t="shared" si="119"/>
        <v/>
      </c>
      <c r="AW78" s="63" t="str">
        <f t="shared" si="119"/>
        <v/>
      </c>
      <c r="AX78" s="63" t="str">
        <f t="shared" si="119"/>
        <v/>
      </c>
      <c r="AY78" s="63" t="str">
        <f t="shared" si="119"/>
        <v/>
      </c>
      <c r="AZ78" s="63" t="str">
        <f t="shared" si="119"/>
        <v/>
      </c>
      <c r="BA78" s="63" t="str">
        <f t="shared" ref="BA78:BF78" si="120">IF(BA76="","",IF(BA76&lt;-$AP$4,0,1))</f>
        <v/>
      </c>
      <c r="BB78" s="63" t="str">
        <f t="shared" si="120"/>
        <v/>
      </c>
      <c r="BC78" s="63" t="str">
        <f t="shared" si="120"/>
        <v/>
      </c>
      <c r="BD78" s="63" t="str">
        <f t="shared" si="120"/>
        <v/>
      </c>
      <c r="BE78" s="63" t="str">
        <f t="shared" si="120"/>
        <v/>
      </c>
      <c r="BF78" s="63" t="str">
        <f t="shared" si="120"/>
        <v/>
      </c>
    </row>
    <row r="79" spans="1:77" x14ac:dyDescent="0.5">
      <c r="A79" s="49"/>
      <c r="B79" s="62">
        <v>0.86</v>
      </c>
      <c r="C79" s="62" t="e">
        <f t="shared" si="87"/>
        <v>#DIV/0!</v>
      </c>
      <c r="D79" s="62" t="e">
        <f t="shared" si="88"/>
        <v>#DIV/0!</v>
      </c>
      <c r="E79" s="59">
        <f t="shared" si="92"/>
        <v>86</v>
      </c>
      <c r="F79" s="59" t="e">
        <f t="shared" si="93"/>
        <v>#DIV/0!</v>
      </c>
      <c r="G79" s="59" t="e">
        <f t="shared" si="94"/>
        <v>#DIV/0!</v>
      </c>
      <c r="H79" s="62" t="e">
        <f t="shared" si="90"/>
        <v>#DIV/0!</v>
      </c>
      <c r="I79" s="62" t="e">
        <f t="shared" si="91"/>
        <v>#DIV/0!</v>
      </c>
      <c r="J79" s="62" t="e">
        <f t="shared" si="95"/>
        <v>#DIV/0!</v>
      </c>
      <c r="K79" s="62" t="e">
        <f t="shared" si="96"/>
        <v>#DIV/0!</v>
      </c>
      <c r="L79" s="62" t="e">
        <f t="shared" si="97"/>
        <v>#DIV/0!</v>
      </c>
      <c r="M79" s="62" t="e">
        <f t="shared" si="98"/>
        <v>#DIV/0!</v>
      </c>
      <c r="N79" s="62" t="e">
        <f t="shared" si="99"/>
        <v>#DIV/0!</v>
      </c>
      <c r="O79" s="17" t="e">
        <f t="shared" si="106"/>
        <v>#DIV/0!</v>
      </c>
      <c r="R79" s="12"/>
      <c r="Z79" s="56" t="s">
        <v>242</v>
      </c>
      <c r="AO79" s="12"/>
      <c r="AP79" s="59" t="s">
        <v>35</v>
      </c>
      <c r="AQ79" s="59"/>
      <c r="AR79" s="63" t="str">
        <f>IF(AR13=0,"",MIN(AR16,AR45,AR78))</f>
        <v/>
      </c>
      <c r="AS79" s="63" t="str">
        <f t="shared" ref="AS79:AZ79" si="121">IF(AS13=0,"",MIN(AS16,AS45,AS78))</f>
        <v/>
      </c>
      <c r="AT79" s="63" t="str">
        <f t="shared" si="121"/>
        <v/>
      </c>
      <c r="AU79" s="63" t="str">
        <f t="shared" si="121"/>
        <v/>
      </c>
      <c r="AV79" s="63" t="str">
        <f t="shared" si="121"/>
        <v/>
      </c>
      <c r="AW79" s="63" t="str">
        <f t="shared" si="121"/>
        <v/>
      </c>
      <c r="AX79" s="63" t="str">
        <f t="shared" si="121"/>
        <v/>
      </c>
      <c r="AY79" s="63" t="str">
        <f t="shared" si="121"/>
        <v/>
      </c>
      <c r="AZ79" s="63" t="str">
        <f t="shared" si="121"/>
        <v/>
      </c>
      <c r="BA79" s="63" t="str">
        <f t="shared" ref="BA79:BF79" si="122">IF(BA13=0,"",MIN(BA16,BA45,BA78))</f>
        <v/>
      </c>
      <c r="BB79" s="63" t="str">
        <f t="shared" si="122"/>
        <v/>
      </c>
      <c r="BC79" s="63" t="str">
        <f t="shared" si="122"/>
        <v/>
      </c>
      <c r="BD79" s="63" t="str">
        <f t="shared" si="122"/>
        <v/>
      </c>
      <c r="BE79" s="63" t="str">
        <f t="shared" si="122"/>
        <v/>
      </c>
      <c r="BF79" s="63" t="str">
        <f t="shared" si="122"/>
        <v/>
      </c>
    </row>
    <row r="80" spans="1:77" x14ac:dyDescent="0.5">
      <c r="A80" s="49"/>
      <c r="B80" s="62">
        <v>0.85</v>
      </c>
      <c r="C80" s="62" t="e">
        <f t="shared" si="87"/>
        <v>#DIV/0!</v>
      </c>
      <c r="D80" s="62" t="e">
        <f t="shared" si="88"/>
        <v>#DIV/0!</v>
      </c>
      <c r="E80" s="59">
        <f t="shared" si="92"/>
        <v>85</v>
      </c>
      <c r="F80" s="59" t="e">
        <f t="shared" si="93"/>
        <v>#DIV/0!</v>
      </c>
      <c r="G80" s="59" t="e">
        <f t="shared" si="94"/>
        <v>#DIV/0!</v>
      </c>
      <c r="H80" s="62" t="e">
        <f t="shared" si="90"/>
        <v>#DIV/0!</v>
      </c>
      <c r="I80" s="62" t="e">
        <f t="shared" si="91"/>
        <v>#DIV/0!</v>
      </c>
      <c r="J80" s="62" t="e">
        <f t="shared" si="95"/>
        <v>#DIV/0!</v>
      </c>
      <c r="K80" s="62" t="e">
        <f t="shared" si="96"/>
        <v>#DIV/0!</v>
      </c>
      <c r="L80" s="62" t="e">
        <f t="shared" si="97"/>
        <v>#DIV/0!</v>
      </c>
      <c r="M80" s="62" t="e">
        <f t="shared" si="98"/>
        <v>#DIV/0!</v>
      </c>
      <c r="N80" s="62" t="e">
        <f t="shared" si="99"/>
        <v>#DIV/0!</v>
      </c>
      <c r="O80" s="17" t="e">
        <f t="shared" si="106"/>
        <v>#DIV/0!</v>
      </c>
      <c r="AA80" s="17" t="s">
        <v>23</v>
      </c>
      <c r="AB80" s="17" t="s">
        <v>7</v>
      </c>
      <c r="AC80" s="17" t="s">
        <v>243</v>
      </c>
      <c r="AD80" s="12"/>
      <c r="AF80" s="17" t="s">
        <v>235</v>
      </c>
      <c r="AG80" s="17" t="s">
        <v>74</v>
      </c>
      <c r="AO80" s="12"/>
    </row>
    <row r="81" spans="1:77" x14ac:dyDescent="0.5">
      <c r="A81" s="49"/>
      <c r="B81" s="62">
        <v>0.84</v>
      </c>
      <c r="C81" s="62" t="e">
        <f t="shared" si="87"/>
        <v>#DIV/0!</v>
      </c>
      <c r="D81" s="62" t="e">
        <f t="shared" si="88"/>
        <v>#DIV/0!</v>
      </c>
      <c r="E81" s="59">
        <f t="shared" si="92"/>
        <v>84</v>
      </c>
      <c r="F81" s="59" t="e">
        <f t="shared" si="93"/>
        <v>#DIV/0!</v>
      </c>
      <c r="G81" s="59" t="e">
        <f t="shared" si="94"/>
        <v>#DIV/0!</v>
      </c>
      <c r="H81" s="62" t="e">
        <f t="shared" si="90"/>
        <v>#DIV/0!</v>
      </c>
      <c r="I81" s="62" t="e">
        <f t="shared" si="91"/>
        <v>#DIV/0!</v>
      </c>
      <c r="J81" s="62" t="e">
        <f t="shared" si="95"/>
        <v>#DIV/0!</v>
      </c>
      <c r="K81" s="62" t="e">
        <f t="shared" si="96"/>
        <v>#DIV/0!</v>
      </c>
      <c r="L81" s="62" t="e">
        <f t="shared" si="97"/>
        <v>#DIV/0!</v>
      </c>
      <c r="M81" s="62" t="e">
        <f t="shared" si="98"/>
        <v>#DIV/0!</v>
      </c>
      <c r="N81" s="62" t="e">
        <f t="shared" si="99"/>
        <v>#DIV/0!</v>
      </c>
      <c r="O81" s="17" t="e">
        <f t="shared" si="106"/>
        <v>#DIV/0!</v>
      </c>
      <c r="Z81" s="17" t="s">
        <v>1</v>
      </c>
      <c r="AA81" s="49" t="e">
        <f>U68</f>
        <v>#DIV/0!</v>
      </c>
      <c r="AB81" s="49" t="e">
        <f>U69</f>
        <v>#DIV/0!</v>
      </c>
      <c r="AC81" s="49" t="s">
        <v>290</v>
      </c>
      <c r="AF81" s="126" t="s">
        <v>1</v>
      </c>
      <c r="AG81" s="17" t="e">
        <f>INDEX(AA81:AA102,MATCH(AF81,Z81:Z102,0))</f>
        <v>#DIV/0!</v>
      </c>
      <c r="AH81" s="17" t="e">
        <f>INDEX(AB81:AB102,MATCH(AF81,Z81:Z102,0))</f>
        <v>#DIV/0!</v>
      </c>
      <c r="AI81" s="17" t="str">
        <f>INDEX(AC81:AC102,MATCH(AF81,Z81:Z102,0))</f>
        <v>-</v>
      </c>
      <c r="AO81" s="12"/>
      <c r="AP81" s="53" t="s">
        <v>47</v>
      </c>
      <c r="BI81" s="53" t="s">
        <v>47</v>
      </c>
    </row>
    <row r="82" spans="1:77" x14ac:dyDescent="0.5">
      <c r="A82" s="49"/>
      <c r="B82" s="62">
        <v>0.83</v>
      </c>
      <c r="C82" s="62" t="e">
        <f t="shared" si="87"/>
        <v>#DIV/0!</v>
      </c>
      <c r="D82" s="62" t="e">
        <f t="shared" si="88"/>
        <v>#DIV/0!</v>
      </c>
      <c r="E82" s="59">
        <f t="shared" si="92"/>
        <v>83</v>
      </c>
      <c r="F82" s="59" t="e">
        <f t="shared" si="93"/>
        <v>#DIV/0!</v>
      </c>
      <c r="G82" s="59" t="e">
        <f t="shared" si="94"/>
        <v>#DIV/0!</v>
      </c>
      <c r="H82" s="62" t="e">
        <f t="shared" si="90"/>
        <v>#DIV/0!</v>
      </c>
      <c r="I82" s="62" t="e">
        <f t="shared" si="91"/>
        <v>#DIV/0!</v>
      </c>
      <c r="J82" s="62" t="e">
        <f t="shared" si="95"/>
        <v>#DIV/0!</v>
      </c>
      <c r="K82" s="62" t="e">
        <f t="shared" si="96"/>
        <v>#DIV/0!</v>
      </c>
      <c r="L82" s="62" t="e">
        <f t="shared" si="97"/>
        <v>#DIV/0!</v>
      </c>
      <c r="M82" s="62" t="e">
        <f t="shared" si="98"/>
        <v>#DIV/0!</v>
      </c>
      <c r="N82" s="62" t="e">
        <f t="shared" si="99"/>
        <v>#DIV/0!</v>
      </c>
      <c r="O82" s="17" t="e">
        <f t="shared" si="106"/>
        <v>#DIV/0!</v>
      </c>
      <c r="Z82" s="17" t="s">
        <v>269</v>
      </c>
      <c r="AA82" s="49" t="e">
        <f>H65</f>
        <v>#DIV/0!</v>
      </c>
      <c r="AB82" s="49" t="e">
        <f>I65</f>
        <v>#DIV/0!</v>
      </c>
      <c r="AC82" s="49" t="s">
        <v>290</v>
      </c>
      <c r="AO82" s="12"/>
      <c r="AP82" s="65" t="s">
        <v>23</v>
      </c>
      <c r="AQ82" s="59"/>
      <c r="AR82" s="63" t="str">
        <f t="shared" ref="AR82:BF82" si="123">IF(AR$79=1,AR9,"")</f>
        <v/>
      </c>
      <c r="AS82" s="63" t="str">
        <f t="shared" si="123"/>
        <v/>
      </c>
      <c r="AT82" s="63" t="str">
        <f t="shared" si="123"/>
        <v/>
      </c>
      <c r="AU82" s="63" t="str">
        <f t="shared" si="123"/>
        <v/>
      </c>
      <c r="AV82" s="63" t="str">
        <f t="shared" si="123"/>
        <v/>
      </c>
      <c r="AW82" s="63" t="str">
        <f t="shared" si="123"/>
        <v/>
      </c>
      <c r="AX82" s="63" t="str">
        <f t="shared" si="123"/>
        <v/>
      </c>
      <c r="AY82" s="63" t="str">
        <f t="shared" si="123"/>
        <v/>
      </c>
      <c r="AZ82" s="63" t="str">
        <f t="shared" si="123"/>
        <v/>
      </c>
      <c r="BA82" s="63" t="str">
        <f t="shared" si="123"/>
        <v/>
      </c>
      <c r="BB82" s="63" t="str">
        <f t="shared" si="123"/>
        <v/>
      </c>
      <c r="BC82" s="63" t="str">
        <f t="shared" si="123"/>
        <v/>
      </c>
      <c r="BD82" s="63" t="str">
        <f t="shared" si="123"/>
        <v/>
      </c>
      <c r="BE82" s="63" t="str">
        <f t="shared" si="123"/>
        <v/>
      </c>
      <c r="BF82" s="63" t="str">
        <f t="shared" si="123"/>
        <v/>
      </c>
      <c r="BI82" s="65" t="s">
        <v>23</v>
      </c>
      <c r="BJ82" s="59"/>
      <c r="BK82" s="63" t="e">
        <f t="shared" ref="BK82:BY84" si="124">IF(AR$79=1,AR9,NA())</f>
        <v>#N/A</v>
      </c>
      <c r="BL82" s="63" t="e">
        <f t="shared" si="124"/>
        <v>#N/A</v>
      </c>
      <c r="BM82" s="63" t="e">
        <f t="shared" si="124"/>
        <v>#N/A</v>
      </c>
      <c r="BN82" s="63" t="e">
        <f t="shared" si="124"/>
        <v>#N/A</v>
      </c>
      <c r="BO82" s="63" t="e">
        <f t="shared" si="124"/>
        <v>#N/A</v>
      </c>
      <c r="BP82" s="63" t="e">
        <f t="shared" si="124"/>
        <v>#N/A</v>
      </c>
      <c r="BQ82" s="63" t="e">
        <f t="shared" si="124"/>
        <v>#N/A</v>
      </c>
      <c r="BR82" s="63" t="e">
        <f t="shared" si="124"/>
        <v>#N/A</v>
      </c>
      <c r="BS82" s="63" t="e">
        <f t="shared" si="124"/>
        <v>#N/A</v>
      </c>
      <c r="BT82" s="63" t="e">
        <f t="shared" si="124"/>
        <v>#N/A</v>
      </c>
      <c r="BU82" s="63" t="e">
        <f t="shared" si="124"/>
        <v>#N/A</v>
      </c>
      <c r="BV82" s="63" t="e">
        <f t="shared" si="124"/>
        <v>#N/A</v>
      </c>
      <c r="BW82" s="63" t="e">
        <f t="shared" si="124"/>
        <v>#N/A</v>
      </c>
      <c r="BX82" s="63" t="e">
        <f t="shared" si="124"/>
        <v>#N/A</v>
      </c>
      <c r="BY82" s="63" t="e">
        <f t="shared" si="124"/>
        <v>#N/A</v>
      </c>
    </row>
    <row r="83" spans="1:77" x14ac:dyDescent="0.5">
      <c r="A83" s="49"/>
      <c r="B83" s="62">
        <v>0.82</v>
      </c>
      <c r="C83" s="62" t="e">
        <f t="shared" si="87"/>
        <v>#DIV/0!</v>
      </c>
      <c r="D83" s="62" t="e">
        <f t="shared" si="88"/>
        <v>#DIV/0!</v>
      </c>
      <c r="E83" s="59">
        <f t="shared" si="92"/>
        <v>82</v>
      </c>
      <c r="F83" s="59" t="e">
        <f t="shared" si="93"/>
        <v>#DIV/0!</v>
      </c>
      <c r="G83" s="59" t="e">
        <f t="shared" si="94"/>
        <v>#DIV/0!</v>
      </c>
      <c r="H83" s="62" t="e">
        <f t="shared" si="90"/>
        <v>#DIV/0!</v>
      </c>
      <c r="I83" s="62" t="e">
        <f t="shared" si="91"/>
        <v>#DIV/0!</v>
      </c>
      <c r="J83" s="62" t="e">
        <f t="shared" si="95"/>
        <v>#DIV/0!</v>
      </c>
      <c r="K83" s="62" t="e">
        <f t="shared" si="96"/>
        <v>#DIV/0!</v>
      </c>
      <c r="L83" s="62" t="e">
        <f t="shared" si="97"/>
        <v>#DIV/0!</v>
      </c>
      <c r="M83" s="62" t="e">
        <f t="shared" si="98"/>
        <v>#DIV/0!</v>
      </c>
      <c r="N83" s="62" t="e">
        <f t="shared" si="99"/>
        <v>#DIV/0!</v>
      </c>
      <c r="O83" s="17" t="e">
        <f t="shared" si="106"/>
        <v>#DIV/0!</v>
      </c>
      <c r="Z83" s="17" t="s">
        <v>270</v>
      </c>
      <c r="AA83" s="49" t="e">
        <f>H70</f>
        <v>#DIV/0!</v>
      </c>
      <c r="AB83" s="49" t="e">
        <f>I70</f>
        <v>#DIV/0!</v>
      </c>
      <c r="AC83" s="49" t="s">
        <v>290</v>
      </c>
      <c r="AO83" s="12"/>
      <c r="AP83" s="67" t="s">
        <v>18</v>
      </c>
      <c r="AQ83" s="59"/>
      <c r="AR83" s="63" t="str">
        <f t="shared" ref="AR83:BF83" si="125">IF(AR$79=1,AR10,"")</f>
        <v/>
      </c>
      <c r="AS83" s="63" t="str">
        <f t="shared" si="125"/>
        <v/>
      </c>
      <c r="AT83" s="63" t="str">
        <f t="shared" si="125"/>
        <v/>
      </c>
      <c r="AU83" s="63" t="str">
        <f t="shared" si="125"/>
        <v/>
      </c>
      <c r="AV83" s="63" t="str">
        <f t="shared" si="125"/>
        <v/>
      </c>
      <c r="AW83" s="63" t="str">
        <f t="shared" si="125"/>
        <v/>
      </c>
      <c r="AX83" s="63" t="str">
        <f t="shared" si="125"/>
        <v/>
      </c>
      <c r="AY83" s="63" t="str">
        <f t="shared" si="125"/>
        <v/>
      </c>
      <c r="AZ83" s="63" t="str">
        <f t="shared" si="125"/>
        <v/>
      </c>
      <c r="BA83" s="63" t="str">
        <f t="shared" si="125"/>
        <v/>
      </c>
      <c r="BB83" s="63" t="str">
        <f t="shared" si="125"/>
        <v/>
      </c>
      <c r="BC83" s="63" t="str">
        <f t="shared" si="125"/>
        <v/>
      </c>
      <c r="BD83" s="63" t="str">
        <f t="shared" si="125"/>
        <v/>
      </c>
      <c r="BE83" s="63" t="str">
        <f t="shared" si="125"/>
        <v/>
      </c>
      <c r="BF83" s="63" t="str">
        <f t="shared" si="125"/>
        <v/>
      </c>
      <c r="BI83" s="67" t="s">
        <v>18</v>
      </c>
      <c r="BJ83" s="59"/>
      <c r="BK83" s="63" t="e">
        <f t="shared" si="124"/>
        <v>#N/A</v>
      </c>
      <c r="BL83" s="63" t="e">
        <f t="shared" si="124"/>
        <v>#N/A</v>
      </c>
      <c r="BM83" s="63" t="e">
        <f t="shared" si="124"/>
        <v>#N/A</v>
      </c>
      <c r="BN83" s="63" t="e">
        <f t="shared" si="124"/>
        <v>#N/A</v>
      </c>
      <c r="BO83" s="63" t="e">
        <f t="shared" si="124"/>
        <v>#N/A</v>
      </c>
      <c r="BP83" s="63" t="e">
        <f t="shared" si="124"/>
        <v>#N/A</v>
      </c>
      <c r="BQ83" s="63" t="e">
        <f t="shared" si="124"/>
        <v>#N/A</v>
      </c>
      <c r="BR83" s="63" t="e">
        <f t="shared" si="124"/>
        <v>#N/A</v>
      </c>
      <c r="BS83" s="63" t="e">
        <f t="shared" si="124"/>
        <v>#N/A</v>
      </c>
      <c r="BT83" s="63" t="e">
        <f t="shared" si="124"/>
        <v>#N/A</v>
      </c>
      <c r="BU83" s="63" t="e">
        <f t="shared" si="124"/>
        <v>#N/A</v>
      </c>
      <c r="BV83" s="63" t="e">
        <f t="shared" si="124"/>
        <v>#N/A</v>
      </c>
      <c r="BW83" s="63" t="e">
        <f t="shared" si="124"/>
        <v>#N/A</v>
      </c>
      <c r="BX83" s="63" t="e">
        <f t="shared" si="124"/>
        <v>#N/A</v>
      </c>
      <c r="BY83" s="63" t="e">
        <f t="shared" si="124"/>
        <v>#N/A</v>
      </c>
    </row>
    <row r="84" spans="1:77" x14ac:dyDescent="0.5">
      <c r="A84" s="49"/>
      <c r="B84" s="62">
        <v>0.81</v>
      </c>
      <c r="C84" s="62" t="e">
        <f t="shared" si="87"/>
        <v>#DIV/0!</v>
      </c>
      <c r="D84" s="62" t="e">
        <f t="shared" si="88"/>
        <v>#DIV/0!</v>
      </c>
      <c r="E84" s="59">
        <f t="shared" si="92"/>
        <v>81</v>
      </c>
      <c r="F84" s="59" t="e">
        <f t="shared" si="93"/>
        <v>#DIV/0!</v>
      </c>
      <c r="G84" s="59" t="e">
        <f t="shared" si="94"/>
        <v>#DIV/0!</v>
      </c>
      <c r="H84" s="62" t="e">
        <f t="shared" si="90"/>
        <v>#DIV/0!</v>
      </c>
      <c r="I84" s="62" t="e">
        <f t="shared" si="91"/>
        <v>#DIV/0!</v>
      </c>
      <c r="J84" s="62" t="e">
        <f t="shared" si="95"/>
        <v>#DIV/0!</v>
      </c>
      <c r="K84" s="62" t="e">
        <f t="shared" si="96"/>
        <v>#DIV/0!</v>
      </c>
      <c r="L84" s="62" t="e">
        <f t="shared" si="97"/>
        <v>#DIV/0!</v>
      </c>
      <c r="M84" s="62" t="e">
        <f t="shared" si="98"/>
        <v>#DIV/0!</v>
      </c>
      <c r="N84" s="62" t="e">
        <f t="shared" si="99"/>
        <v>#DIV/0!</v>
      </c>
      <c r="O84" s="17" t="e">
        <f t="shared" si="106"/>
        <v>#DIV/0!</v>
      </c>
      <c r="Z84" s="17" t="s">
        <v>271</v>
      </c>
      <c r="AA84" s="49" t="e">
        <f>H75</f>
        <v>#DIV/0!</v>
      </c>
      <c r="AB84" s="49" t="e">
        <f>I75</f>
        <v>#DIV/0!</v>
      </c>
      <c r="AC84" s="49" t="s">
        <v>290</v>
      </c>
      <c r="AO84" s="12"/>
      <c r="AP84" s="67" t="s">
        <v>0</v>
      </c>
      <c r="AQ84" s="59"/>
      <c r="AR84" s="63" t="str">
        <f t="shared" ref="AR84:BF84" si="126">IF(AR$79=1,AR11,"")</f>
        <v/>
      </c>
      <c r="AS84" s="63" t="str">
        <f t="shared" si="126"/>
        <v/>
      </c>
      <c r="AT84" s="63" t="str">
        <f t="shared" si="126"/>
        <v/>
      </c>
      <c r="AU84" s="63" t="str">
        <f t="shared" si="126"/>
        <v/>
      </c>
      <c r="AV84" s="63" t="str">
        <f t="shared" si="126"/>
        <v/>
      </c>
      <c r="AW84" s="63" t="str">
        <f t="shared" si="126"/>
        <v/>
      </c>
      <c r="AX84" s="63" t="str">
        <f t="shared" si="126"/>
        <v/>
      </c>
      <c r="AY84" s="63" t="str">
        <f t="shared" si="126"/>
        <v/>
      </c>
      <c r="AZ84" s="63" t="str">
        <f t="shared" si="126"/>
        <v/>
      </c>
      <c r="BA84" s="63" t="str">
        <f t="shared" si="126"/>
        <v/>
      </c>
      <c r="BB84" s="63" t="str">
        <f t="shared" si="126"/>
        <v/>
      </c>
      <c r="BC84" s="63" t="str">
        <f t="shared" si="126"/>
        <v/>
      </c>
      <c r="BD84" s="63" t="str">
        <f t="shared" si="126"/>
        <v/>
      </c>
      <c r="BE84" s="63" t="str">
        <f t="shared" si="126"/>
        <v/>
      </c>
      <c r="BF84" s="63" t="str">
        <f t="shared" si="126"/>
        <v/>
      </c>
      <c r="BI84" s="67" t="s">
        <v>0</v>
      </c>
      <c r="BJ84" s="59"/>
      <c r="BK84" s="63" t="e">
        <f t="shared" si="124"/>
        <v>#N/A</v>
      </c>
      <c r="BL84" s="63" t="e">
        <f t="shared" si="124"/>
        <v>#N/A</v>
      </c>
      <c r="BM84" s="63" t="e">
        <f t="shared" si="124"/>
        <v>#N/A</v>
      </c>
      <c r="BN84" s="63" t="e">
        <f t="shared" si="124"/>
        <v>#N/A</v>
      </c>
      <c r="BO84" s="63" t="e">
        <f t="shared" si="124"/>
        <v>#N/A</v>
      </c>
      <c r="BP84" s="63" t="e">
        <f t="shared" si="124"/>
        <v>#N/A</v>
      </c>
      <c r="BQ84" s="63" t="e">
        <f t="shared" si="124"/>
        <v>#N/A</v>
      </c>
      <c r="BR84" s="63" t="e">
        <f t="shared" si="124"/>
        <v>#N/A</v>
      </c>
      <c r="BS84" s="63" t="e">
        <f t="shared" si="124"/>
        <v>#N/A</v>
      </c>
      <c r="BT84" s="63" t="e">
        <f t="shared" si="124"/>
        <v>#N/A</v>
      </c>
      <c r="BU84" s="63" t="e">
        <f t="shared" si="124"/>
        <v>#N/A</v>
      </c>
      <c r="BV84" s="63" t="e">
        <f t="shared" si="124"/>
        <v>#N/A</v>
      </c>
      <c r="BW84" s="63" t="e">
        <f t="shared" si="124"/>
        <v>#N/A</v>
      </c>
      <c r="BX84" s="63" t="e">
        <f t="shared" si="124"/>
        <v>#N/A</v>
      </c>
      <c r="BY84" s="63" t="e">
        <f t="shared" si="124"/>
        <v>#N/A</v>
      </c>
    </row>
    <row r="85" spans="1:77" x14ac:dyDescent="0.5">
      <c r="A85" s="49"/>
      <c r="B85" s="62">
        <v>0.8</v>
      </c>
      <c r="C85" s="62" t="e">
        <f t="shared" si="87"/>
        <v>#DIV/0!</v>
      </c>
      <c r="D85" s="62" t="e">
        <f t="shared" si="88"/>
        <v>#DIV/0!</v>
      </c>
      <c r="E85" s="59">
        <f t="shared" si="92"/>
        <v>80</v>
      </c>
      <c r="F85" s="59" t="e">
        <f t="shared" si="93"/>
        <v>#DIV/0!</v>
      </c>
      <c r="G85" s="59" t="e">
        <f t="shared" si="94"/>
        <v>#DIV/0!</v>
      </c>
      <c r="H85" s="62" t="e">
        <f t="shared" si="90"/>
        <v>#DIV/0!</v>
      </c>
      <c r="I85" s="62" t="e">
        <f t="shared" si="91"/>
        <v>#DIV/0!</v>
      </c>
      <c r="J85" s="62" t="e">
        <f t="shared" si="95"/>
        <v>#DIV/0!</v>
      </c>
      <c r="K85" s="62" t="e">
        <f t="shared" si="96"/>
        <v>#DIV/0!</v>
      </c>
      <c r="L85" s="62" t="e">
        <f t="shared" si="97"/>
        <v>#DIV/0!</v>
      </c>
      <c r="M85" s="62" t="e">
        <f t="shared" si="98"/>
        <v>#DIV/0!</v>
      </c>
      <c r="N85" s="62" t="e">
        <f t="shared" si="99"/>
        <v>#DIV/0!</v>
      </c>
      <c r="O85" s="17" t="e">
        <f t="shared" si="106"/>
        <v>#DIV/0!</v>
      </c>
      <c r="Z85" s="17" t="s">
        <v>272</v>
      </c>
      <c r="AA85" s="49" t="e">
        <f>H80</f>
        <v>#DIV/0!</v>
      </c>
      <c r="AB85" s="49" t="e">
        <f>I80</f>
        <v>#DIV/0!</v>
      </c>
      <c r="AC85" s="49" t="s">
        <v>290</v>
      </c>
      <c r="AO85" s="12"/>
    </row>
    <row r="86" spans="1:77" x14ac:dyDescent="0.5">
      <c r="A86" s="49"/>
      <c r="B86" s="62">
        <v>0.79</v>
      </c>
      <c r="C86" s="62" t="e">
        <f t="shared" si="87"/>
        <v>#DIV/0!</v>
      </c>
      <c r="D86" s="62" t="e">
        <f t="shared" si="88"/>
        <v>#DIV/0!</v>
      </c>
      <c r="E86" s="59">
        <f t="shared" si="92"/>
        <v>79</v>
      </c>
      <c r="F86" s="59" t="e">
        <f t="shared" si="93"/>
        <v>#DIV/0!</v>
      </c>
      <c r="G86" s="59" t="e">
        <f t="shared" si="94"/>
        <v>#DIV/0!</v>
      </c>
      <c r="H86" s="62" t="e">
        <f t="shared" si="90"/>
        <v>#DIV/0!</v>
      </c>
      <c r="I86" s="62" t="e">
        <f t="shared" si="91"/>
        <v>#DIV/0!</v>
      </c>
      <c r="J86" s="62" t="e">
        <f t="shared" si="95"/>
        <v>#DIV/0!</v>
      </c>
      <c r="K86" s="62" t="e">
        <f t="shared" si="96"/>
        <v>#DIV/0!</v>
      </c>
      <c r="L86" s="62" t="e">
        <f t="shared" si="97"/>
        <v>#DIV/0!</v>
      </c>
      <c r="M86" s="62" t="e">
        <f t="shared" si="98"/>
        <v>#DIV/0!</v>
      </c>
      <c r="N86" s="62" t="e">
        <f t="shared" si="99"/>
        <v>#DIV/0!</v>
      </c>
      <c r="O86" s="17" t="e">
        <f t="shared" si="106"/>
        <v>#DIV/0!</v>
      </c>
      <c r="Z86" s="17" t="s">
        <v>273</v>
      </c>
      <c r="AA86" s="49" t="e">
        <f>H85</f>
        <v>#DIV/0!</v>
      </c>
      <c r="AB86" s="49" t="e">
        <f>I85</f>
        <v>#DIV/0!</v>
      </c>
      <c r="AC86" s="49" t="s">
        <v>290</v>
      </c>
      <c r="AP86" s="79" t="s">
        <v>36</v>
      </c>
      <c r="AQ86" s="59" t="s">
        <v>37</v>
      </c>
      <c r="AR86" s="63" t="e">
        <f>SLOPE(AR82:BF82,AR83:BF83)</f>
        <v>#DIV/0!</v>
      </c>
      <c r="BI86" s="53"/>
    </row>
    <row r="87" spans="1:77" x14ac:dyDescent="0.5">
      <c r="A87" s="49"/>
      <c r="B87" s="62">
        <v>0.78</v>
      </c>
      <c r="C87" s="62" t="e">
        <f t="shared" si="87"/>
        <v>#DIV/0!</v>
      </c>
      <c r="D87" s="62" t="e">
        <f t="shared" si="88"/>
        <v>#DIV/0!</v>
      </c>
      <c r="E87" s="59">
        <f t="shared" si="92"/>
        <v>78</v>
      </c>
      <c r="F87" s="59" t="e">
        <f t="shared" si="93"/>
        <v>#DIV/0!</v>
      </c>
      <c r="G87" s="59" t="e">
        <f t="shared" si="94"/>
        <v>#DIV/0!</v>
      </c>
      <c r="H87" s="62" t="e">
        <f t="shared" si="90"/>
        <v>#DIV/0!</v>
      </c>
      <c r="I87" s="62" t="e">
        <f t="shared" si="91"/>
        <v>#DIV/0!</v>
      </c>
      <c r="J87" s="62" t="e">
        <f t="shared" si="95"/>
        <v>#DIV/0!</v>
      </c>
      <c r="K87" s="62" t="e">
        <f t="shared" si="96"/>
        <v>#DIV/0!</v>
      </c>
      <c r="L87" s="62" t="e">
        <f t="shared" si="97"/>
        <v>#DIV/0!</v>
      </c>
      <c r="M87" s="62" t="e">
        <f t="shared" si="98"/>
        <v>#DIV/0!</v>
      </c>
      <c r="N87" s="62" t="e">
        <f t="shared" si="99"/>
        <v>#DIV/0!</v>
      </c>
      <c r="O87" s="17" t="e">
        <f t="shared" si="106"/>
        <v>#DIV/0!</v>
      </c>
      <c r="Z87" s="17" t="s">
        <v>274</v>
      </c>
      <c r="AA87" s="49" t="e">
        <f>H90</f>
        <v>#DIV/0!</v>
      </c>
      <c r="AB87" s="49" t="e">
        <f>I90</f>
        <v>#DIV/0!</v>
      </c>
      <c r="AC87" s="49" t="s">
        <v>290</v>
      </c>
      <c r="AP87" s="59"/>
      <c r="AQ87" s="59" t="s">
        <v>38</v>
      </c>
      <c r="AR87" s="63" t="e">
        <f>INTERCEPT(AR82:BF82,AR83:BF83)</f>
        <v>#DIV/0!</v>
      </c>
    </row>
    <row r="88" spans="1:77" x14ac:dyDescent="0.5">
      <c r="A88" s="49"/>
      <c r="B88" s="62">
        <v>0.77</v>
      </c>
      <c r="C88" s="62" t="e">
        <f t="shared" si="87"/>
        <v>#DIV/0!</v>
      </c>
      <c r="D88" s="62" t="e">
        <f t="shared" si="88"/>
        <v>#DIV/0!</v>
      </c>
      <c r="E88" s="59">
        <f t="shared" si="92"/>
        <v>77</v>
      </c>
      <c r="F88" s="59" t="e">
        <f t="shared" si="93"/>
        <v>#DIV/0!</v>
      </c>
      <c r="G88" s="59" t="e">
        <f t="shared" si="94"/>
        <v>#DIV/0!</v>
      </c>
      <c r="H88" s="62" t="e">
        <f t="shared" si="90"/>
        <v>#DIV/0!</v>
      </c>
      <c r="I88" s="62" t="e">
        <f t="shared" si="91"/>
        <v>#DIV/0!</v>
      </c>
      <c r="J88" s="62" t="e">
        <f t="shared" si="95"/>
        <v>#DIV/0!</v>
      </c>
      <c r="K88" s="62" t="e">
        <f t="shared" si="96"/>
        <v>#DIV/0!</v>
      </c>
      <c r="L88" s="62" t="e">
        <f t="shared" si="97"/>
        <v>#DIV/0!</v>
      </c>
      <c r="M88" s="62" t="e">
        <f t="shared" si="98"/>
        <v>#DIV/0!</v>
      </c>
      <c r="N88" s="62" t="e">
        <f t="shared" si="99"/>
        <v>#DIV/0!</v>
      </c>
      <c r="O88" s="17" t="e">
        <f t="shared" si="106"/>
        <v>#DIV/0!</v>
      </c>
      <c r="Z88" s="17" t="s">
        <v>275</v>
      </c>
      <c r="AA88" s="49" t="e">
        <f>H95</f>
        <v>#DIV/0!</v>
      </c>
      <c r="AB88" s="49" t="e">
        <f>I95</f>
        <v>#DIV/0!</v>
      </c>
      <c r="AC88" s="49" t="s">
        <v>290</v>
      </c>
      <c r="AP88" s="59"/>
      <c r="AQ88" s="59" t="s">
        <v>39</v>
      </c>
      <c r="AR88" s="63" t="e">
        <f>RSQ(AR105:BF105,AR106:BF106)</f>
        <v>#DIV/0!</v>
      </c>
      <c r="AS88" s="63" t="s">
        <v>85</v>
      </c>
      <c r="AT88" s="63" t="e">
        <f>STEYX(AR105:BF105,AR106:BF106)</f>
        <v>#DIV/0!</v>
      </c>
      <c r="AU88" s="63" t="s">
        <v>80</v>
      </c>
      <c r="AV88" s="63">
        <f>SQRT(SUM(AR107:BF107)/(COUNT(AR107:BF107)-2))</f>
        <v>0</v>
      </c>
    </row>
    <row r="89" spans="1:77" x14ac:dyDescent="0.5">
      <c r="A89" s="49"/>
      <c r="B89" s="62">
        <v>0.76</v>
      </c>
      <c r="C89" s="62" t="e">
        <f t="shared" si="87"/>
        <v>#DIV/0!</v>
      </c>
      <c r="D89" s="62" t="e">
        <f t="shared" si="88"/>
        <v>#DIV/0!</v>
      </c>
      <c r="E89" s="59">
        <f t="shared" si="92"/>
        <v>76</v>
      </c>
      <c r="F89" s="59" t="e">
        <f t="shared" si="93"/>
        <v>#DIV/0!</v>
      </c>
      <c r="G89" s="59" t="e">
        <f t="shared" si="94"/>
        <v>#DIV/0!</v>
      </c>
      <c r="H89" s="62" t="e">
        <f t="shared" si="90"/>
        <v>#DIV/0!</v>
      </c>
      <c r="I89" s="62" t="e">
        <f t="shared" si="91"/>
        <v>#DIV/0!</v>
      </c>
      <c r="J89" s="62" t="e">
        <f t="shared" si="95"/>
        <v>#DIV/0!</v>
      </c>
      <c r="K89" s="62" t="e">
        <f t="shared" si="96"/>
        <v>#DIV/0!</v>
      </c>
      <c r="L89" s="62" t="e">
        <f t="shared" si="97"/>
        <v>#DIV/0!</v>
      </c>
      <c r="M89" s="62" t="e">
        <f t="shared" si="98"/>
        <v>#DIV/0!</v>
      </c>
      <c r="N89" s="62" t="e">
        <f t="shared" si="99"/>
        <v>#DIV/0!</v>
      </c>
      <c r="O89" s="17" t="e">
        <f t="shared" si="106"/>
        <v>#DIV/0!</v>
      </c>
      <c r="Z89" s="17" t="s">
        <v>276</v>
      </c>
      <c r="AA89" s="49" t="e">
        <f>H100</f>
        <v>#DIV/0!</v>
      </c>
      <c r="AB89" s="49" t="e">
        <f>I100</f>
        <v>#DIV/0!</v>
      </c>
      <c r="AC89" s="49" t="s">
        <v>290</v>
      </c>
    </row>
    <row r="90" spans="1:77" x14ac:dyDescent="0.5">
      <c r="A90" s="49"/>
      <c r="B90" s="62">
        <v>0.75</v>
      </c>
      <c r="C90" s="62" t="e">
        <f t="shared" si="87"/>
        <v>#DIV/0!</v>
      </c>
      <c r="D90" s="62" t="e">
        <f t="shared" si="88"/>
        <v>#DIV/0!</v>
      </c>
      <c r="E90" s="59">
        <f t="shared" si="92"/>
        <v>75</v>
      </c>
      <c r="F90" s="59" t="e">
        <f t="shared" si="93"/>
        <v>#DIV/0!</v>
      </c>
      <c r="G90" s="59" t="e">
        <f t="shared" si="94"/>
        <v>#DIV/0!</v>
      </c>
      <c r="H90" s="62" t="e">
        <f t="shared" si="90"/>
        <v>#DIV/0!</v>
      </c>
      <c r="I90" s="62" t="e">
        <f t="shared" si="91"/>
        <v>#DIV/0!</v>
      </c>
      <c r="J90" s="62" t="e">
        <f t="shared" si="95"/>
        <v>#DIV/0!</v>
      </c>
      <c r="K90" s="62" t="e">
        <f t="shared" si="96"/>
        <v>#DIV/0!</v>
      </c>
      <c r="L90" s="62" t="e">
        <f t="shared" si="97"/>
        <v>#DIV/0!</v>
      </c>
      <c r="M90" s="62" t="e">
        <f t="shared" si="98"/>
        <v>#DIV/0!</v>
      </c>
      <c r="N90" s="62" t="e">
        <f t="shared" si="99"/>
        <v>#DIV/0!</v>
      </c>
      <c r="O90" s="17" t="e">
        <f t="shared" si="106"/>
        <v>#DIV/0!</v>
      </c>
      <c r="Z90" s="17" t="s">
        <v>277</v>
      </c>
      <c r="AA90" s="49" t="e">
        <f>H105</f>
        <v>#DIV/0!</v>
      </c>
      <c r="AB90" s="49" t="e">
        <f>I105</f>
        <v>#DIV/0!</v>
      </c>
      <c r="AC90" s="49" t="s">
        <v>290</v>
      </c>
      <c r="AP90" s="53" t="s">
        <v>48</v>
      </c>
      <c r="BI90" s="53" t="s">
        <v>48</v>
      </c>
    </row>
    <row r="91" spans="1:77" x14ac:dyDescent="0.5">
      <c r="A91" s="49"/>
      <c r="B91" s="62">
        <v>0.74</v>
      </c>
      <c r="C91" s="62" t="e">
        <f t="shared" si="87"/>
        <v>#DIV/0!</v>
      </c>
      <c r="D91" s="62" t="e">
        <f t="shared" si="88"/>
        <v>#DIV/0!</v>
      </c>
      <c r="E91" s="59">
        <f t="shared" si="92"/>
        <v>74</v>
      </c>
      <c r="F91" s="59" t="e">
        <f t="shared" si="93"/>
        <v>#DIV/0!</v>
      </c>
      <c r="G91" s="59" t="e">
        <f t="shared" si="94"/>
        <v>#DIV/0!</v>
      </c>
      <c r="H91" s="62" t="e">
        <f t="shared" si="90"/>
        <v>#DIV/0!</v>
      </c>
      <c r="I91" s="62" t="e">
        <f t="shared" si="91"/>
        <v>#DIV/0!</v>
      </c>
      <c r="J91" s="62" t="e">
        <f t="shared" si="95"/>
        <v>#DIV/0!</v>
      </c>
      <c r="K91" s="62" t="e">
        <f t="shared" si="96"/>
        <v>#DIV/0!</v>
      </c>
      <c r="L91" s="62" t="e">
        <f t="shared" si="97"/>
        <v>#DIV/0!</v>
      </c>
      <c r="M91" s="62" t="e">
        <f t="shared" si="98"/>
        <v>#DIV/0!</v>
      </c>
      <c r="N91" s="62" t="e">
        <f t="shared" si="99"/>
        <v>#DIV/0!</v>
      </c>
      <c r="O91" s="17" t="e">
        <f t="shared" si="106"/>
        <v>#DIV/0!</v>
      </c>
      <c r="Z91" s="17" t="s">
        <v>278</v>
      </c>
      <c r="AA91" s="49" t="e">
        <f>H110</f>
        <v>#DIV/0!</v>
      </c>
      <c r="AB91" s="49" t="e">
        <f>I110</f>
        <v>#DIV/0!</v>
      </c>
      <c r="AC91" s="49" t="s">
        <v>290</v>
      </c>
      <c r="AP91" s="67" t="s">
        <v>20</v>
      </c>
      <c r="AQ91" s="67"/>
      <c r="AR91" s="63" t="str">
        <f t="shared" ref="AR91:BF91" si="127">IF(AR9="","",((AR9-$AR$87)/$AR$86))</f>
        <v/>
      </c>
      <c r="AS91" s="63" t="str">
        <f t="shared" si="127"/>
        <v/>
      </c>
      <c r="AT91" s="63" t="str">
        <f t="shared" si="127"/>
        <v/>
      </c>
      <c r="AU91" s="63" t="str">
        <f t="shared" si="127"/>
        <v/>
      </c>
      <c r="AV91" s="63" t="str">
        <f t="shared" si="127"/>
        <v/>
      </c>
      <c r="AW91" s="63" t="str">
        <f t="shared" si="127"/>
        <v/>
      </c>
      <c r="AX91" s="63" t="str">
        <f t="shared" si="127"/>
        <v/>
      </c>
      <c r="AY91" s="63" t="str">
        <f t="shared" si="127"/>
        <v/>
      </c>
      <c r="AZ91" s="63" t="str">
        <f t="shared" si="127"/>
        <v/>
      </c>
      <c r="BA91" s="63" t="str">
        <f t="shared" si="127"/>
        <v/>
      </c>
      <c r="BB91" s="63" t="str">
        <f t="shared" si="127"/>
        <v/>
      </c>
      <c r="BC91" s="63" t="str">
        <f t="shared" si="127"/>
        <v/>
      </c>
      <c r="BD91" s="63" t="str">
        <f t="shared" si="127"/>
        <v/>
      </c>
      <c r="BE91" s="63" t="str">
        <f t="shared" si="127"/>
        <v/>
      </c>
      <c r="BF91" s="63" t="str">
        <f t="shared" si="127"/>
        <v/>
      </c>
      <c r="BI91" s="67" t="s">
        <v>20</v>
      </c>
      <c r="BJ91" s="67"/>
      <c r="BK91" s="63" t="e">
        <f t="shared" ref="BK91:BY91" si="128">IF(AR9="",NA(),((AR9-$AR$87)/$AR$86))</f>
        <v>#N/A</v>
      </c>
      <c r="BL91" s="63" t="e">
        <f t="shared" si="128"/>
        <v>#N/A</v>
      </c>
      <c r="BM91" s="63" t="e">
        <f t="shared" si="128"/>
        <v>#N/A</v>
      </c>
      <c r="BN91" s="63" t="e">
        <f t="shared" si="128"/>
        <v>#N/A</v>
      </c>
      <c r="BO91" s="63" t="e">
        <f t="shared" si="128"/>
        <v>#N/A</v>
      </c>
      <c r="BP91" s="63" t="e">
        <f t="shared" si="128"/>
        <v>#N/A</v>
      </c>
      <c r="BQ91" s="63" t="e">
        <f t="shared" si="128"/>
        <v>#N/A</v>
      </c>
      <c r="BR91" s="63" t="e">
        <f t="shared" si="128"/>
        <v>#N/A</v>
      </c>
      <c r="BS91" s="63" t="e">
        <f t="shared" si="128"/>
        <v>#N/A</v>
      </c>
      <c r="BT91" s="63" t="e">
        <f t="shared" si="128"/>
        <v>#N/A</v>
      </c>
      <c r="BU91" s="63" t="e">
        <f t="shared" si="128"/>
        <v>#N/A</v>
      </c>
      <c r="BV91" s="63" t="e">
        <f t="shared" si="128"/>
        <v>#N/A</v>
      </c>
      <c r="BW91" s="63" t="e">
        <f t="shared" si="128"/>
        <v>#N/A</v>
      </c>
      <c r="BX91" s="63" t="e">
        <f t="shared" si="128"/>
        <v>#N/A</v>
      </c>
      <c r="BY91" s="63" t="e">
        <f t="shared" si="128"/>
        <v>#N/A</v>
      </c>
    </row>
    <row r="92" spans="1:77" x14ac:dyDescent="0.5">
      <c r="A92" s="49"/>
      <c r="B92" s="62">
        <v>0.73</v>
      </c>
      <c r="C92" s="62" t="e">
        <f t="shared" si="87"/>
        <v>#DIV/0!</v>
      </c>
      <c r="D92" s="62" t="e">
        <f t="shared" si="88"/>
        <v>#DIV/0!</v>
      </c>
      <c r="E92" s="59">
        <f t="shared" si="92"/>
        <v>73</v>
      </c>
      <c r="F92" s="59" t="e">
        <f t="shared" si="93"/>
        <v>#DIV/0!</v>
      </c>
      <c r="G92" s="59" t="e">
        <f t="shared" si="94"/>
        <v>#DIV/0!</v>
      </c>
      <c r="H92" s="62" t="e">
        <f t="shared" si="90"/>
        <v>#DIV/0!</v>
      </c>
      <c r="I92" s="62" t="e">
        <f t="shared" si="91"/>
        <v>#DIV/0!</v>
      </c>
      <c r="J92" s="62" t="e">
        <f t="shared" si="95"/>
        <v>#DIV/0!</v>
      </c>
      <c r="K92" s="62" t="e">
        <f t="shared" si="96"/>
        <v>#DIV/0!</v>
      </c>
      <c r="L92" s="62" t="e">
        <f t="shared" si="97"/>
        <v>#DIV/0!</v>
      </c>
      <c r="M92" s="62" t="e">
        <f t="shared" si="98"/>
        <v>#DIV/0!</v>
      </c>
      <c r="N92" s="62" t="e">
        <f t="shared" si="99"/>
        <v>#DIV/0!</v>
      </c>
      <c r="O92" s="17" t="e">
        <f t="shared" si="106"/>
        <v>#DIV/0!</v>
      </c>
      <c r="Z92" s="17" t="s">
        <v>279</v>
      </c>
      <c r="AA92" s="49" t="e">
        <f>H115</f>
        <v>#DIV/0!</v>
      </c>
      <c r="AB92" s="49" t="e">
        <f>I115</f>
        <v>#DIV/0!</v>
      </c>
      <c r="AC92" s="49" t="s">
        <v>290</v>
      </c>
      <c r="AP92" s="59" t="s">
        <v>40</v>
      </c>
      <c r="AQ92" s="59"/>
      <c r="AR92" s="63" t="str">
        <f t="shared" ref="AR92:BF92" si="129">IF(AR9="","",AR91-$AP$4)</f>
        <v/>
      </c>
      <c r="AS92" s="63" t="str">
        <f t="shared" si="129"/>
        <v/>
      </c>
      <c r="AT92" s="63" t="str">
        <f t="shared" si="129"/>
        <v/>
      </c>
      <c r="AU92" s="63" t="str">
        <f t="shared" si="129"/>
        <v/>
      </c>
      <c r="AV92" s="63" t="str">
        <f t="shared" si="129"/>
        <v/>
      </c>
      <c r="AW92" s="63" t="str">
        <f t="shared" si="129"/>
        <v/>
      </c>
      <c r="AX92" s="63" t="str">
        <f t="shared" si="129"/>
        <v/>
      </c>
      <c r="AY92" s="63" t="str">
        <f t="shared" si="129"/>
        <v/>
      </c>
      <c r="AZ92" s="63" t="str">
        <f t="shared" si="129"/>
        <v/>
      </c>
      <c r="BA92" s="63" t="str">
        <f t="shared" si="129"/>
        <v/>
      </c>
      <c r="BB92" s="63" t="str">
        <f t="shared" si="129"/>
        <v/>
      </c>
      <c r="BC92" s="63" t="str">
        <f t="shared" si="129"/>
        <v/>
      </c>
      <c r="BD92" s="63" t="str">
        <f t="shared" si="129"/>
        <v/>
      </c>
      <c r="BE92" s="63" t="str">
        <f t="shared" si="129"/>
        <v/>
      </c>
      <c r="BF92" s="63" t="str">
        <f t="shared" si="129"/>
        <v/>
      </c>
      <c r="BI92" s="59" t="s">
        <v>40</v>
      </c>
      <c r="BJ92" s="59"/>
      <c r="BK92" s="63" t="e">
        <f t="shared" ref="BK92:BY92" si="130">IF(AR9="",NA(),AR91-$AP$4)</f>
        <v>#N/A</v>
      </c>
      <c r="BL92" s="63" t="e">
        <f t="shared" si="130"/>
        <v>#N/A</v>
      </c>
      <c r="BM92" s="63" t="e">
        <f t="shared" si="130"/>
        <v>#N/A</v>
      </c>
      <c r="BN92" s="63" t="e">
        <f t="shared" si="130"/>
        <v>#N/A</v>
      </c>
      <c r="BO92" s="63" t="e">
        <f t="shared" si="130"/>
        <v>#N/A</v>
      </c>
      <c r="BP92" s="63" t="e">
        <f t="shared" si="130"/>
        <v>#N/A</v>
      </c>
      <c r="BQ92" s="63" t="e">
        <f t="shared" si="130"/>
        <v>#N/A</v>
      </c>
      <c r="BR92" s="63" t="e">
        <f t="shared" si="130"/>
        <v>#N/A</v>
      </c>
      <c r="BS92" s="63" t="e">
        <f t="shared" si="130"/>
        <v>#N/A</v>
      </c>
      <c r="BT92" s="63" t="e">
        <f t="shared" si="130"/>
        <v>#N/A</v>
      </c>
      <c r="BU92" s="63" t="e">
        <f t="shared" si="130"/>
        <v>#N/A</v>
      </c>
      <c r="BV92" s="63" t="e">
        <f t="shared" si="130"/>
        <v>#N/A</v>
      </c>
      <c r="BW92" s="63" t="e">
        <f t="shared" si="130"/>
        <v>#N/A</v>
      </c>
      <c r="BX92" s="63" t="e">
        <f t="shared" si="130"/>
        <v>#N/A</v>
      </c>
      <c r="BY92" s="63" t="e">
        <f t="shared" si="130"/>
        <v>#N/A</v>
      </c>
    </row>
    <row r="93" spans="1:77" x14ac:dyDescent="0.5">
      <c r="A93" s="49"/>
      <c r="B93" s="62">
        <v>0.72</v>
      </c>
      <c r="C93" s="62" t="e">
        <f t="shared" si="87"/>
        <v>#DIV/0!</v>
      </c>
      <c r="D93" s="62" t="e">
        <f t="shared" si="88"/>
        <v>#DIV/0!</v>
      </c>
      <c r="E93" s="59">
        <f t="shared" si="92"/>
        <v>72</v>
      </c>
      <c r="F93" s="59" t="e">
        <f t="shared" si="93"/>
        <v>#DIV/0!</v>
      </c>
      <c r="G93" s="59" t="e">
        <f t="shared" si="94"/>
        <v>#DIV/0!</v>
      </c>
      <c r="H93" s="62" t="e">
        <f t="shared" si="90"/>
        <v>#DIV/0!</v>
      </c>
      <c r="I93" s="62" t="e">
        <f t="shared" si="91"/>
        <v>#DIV/0!</v>
      </c>
      <c r="J93" s="62" t="e">
        <f t="shared" si="95"/>
        <v>#DIV/0!</v>
      </c>
      <c r="K93" s="62" t="e">
        <f t="shared" si="96"/>
        <v>#DIV/0!</v>
      </c>
      <c r="L93" s="62" t="e">
        <f t="shared" si="97"/>
        <v>#DIV/0!</v>
      </c>
      <c r="M93" s="62" t="e">
        <f t="shared" si="98"/>
        <v>#DIV/0!</v>
      </c>
      <c r="N93" s="62" t="e">
        <f t="shared" si="99"/>
        <v>#DIV/0!</v>
      </c>
      <c r="O93" s="17" t="e">
        <f t="shared" si="106"/>
        <v>#DIV/0!</v>
      </c>
      <c r="Z93" s="17" t="s">
        <v>280</v>
      </c>
      <c r="AA93" s="49" t="e">
        <f>H120</f>
        <v>#DIV/0!</v>
      </c>
      <c r="AB93" s="49" t="e">
        <f>I120</f>
        <v>#DIV/0!</v>
      </c>
      <c r="AC93" s="49" t="s">
        <v>290</v>
      </c>
      <c r="AD93" s="12"/>
      <c r="AP93" s="59" t="s">
        <v>41</v>
      </c>
      <c r="AQ93" s="59"/>
      <c r="AR93" s="63" t="str">
        <f t="shared" ref="AR93:BF93" si="131">IF(AR9="","",AR91+$AP$4)</f>
        <v/>
      </c>
      <c r="AS93" s="63" t="str">
        <f t="shared" si="131"/>
        <v/>
      </c>
      <c r="AT93" s="63" t="str">
        <f t="shared" si="131"/>
        <v/>
      </c>
      <c r="AU93" s="63" t="str">
        <f t="shared" si="131"/>
        <v/>
      </c>
      <c r="AV93" s="63" t="str">
        <f t="shared" si="131"/>
        <v/>
      </c>
      <c r="AW93" s="63" t="str">
        <f t="shared" si="131"/>
        <v/>
      </c>
      <c r="AX93" s="63" t="str">
        <f t="shared" si="131"/>
        <v/>
      </c>
      <c r="AY93" s="63" t="str">
        <f t="shared" si="131"/>
        <v/>
      </c>
      <c r="AZ93" s="63" t="str">
        <f t="shared" si="131"/>
        <v/>
      </c>
      <c r="BA93" s="63" t="str">
        <f t="shared" si="131"/>
        <v/>
      </c>
      <c r="BB93" s="63" t="str">
        <f t="shared" si="131"/>
        <v/>
      </c>
      <c r="BC93" s="63" t="str">
        <f t="shared" si="131"/>
        <v/>
      </c>
      <c r="BD93" s="63" t="str">
        <f t="shared" si="131"/>
        <v/>
      </c>
      <c r="BE93" s="63" t="str">
        <f t="shared" si="131"/>
        <v/>
      </c>
      <c r="BF93" s="63" t="str">
        <f t="shared" si="131"/>
        <v/>
      </c>
      <c r="BI93" s="59" t="s">
        <v>41</v>
      </c>
      <c r="BJ93" s="59"/>
      <c r="BK93" s="63" t="e">
        <f t="shared" ref="BK93:BY93" si="132">IF(AR9="",NA(),AR91+$AP$4)</f>
        <v>#N/A</v>
      </c>
      <c r="BL93" s="63" t="e">
        <f t="shared" si="132"/>
        <v>#N/A</v>
      </c>
      <c r="BM93" s="63" t="e">
        <f t="shared" si="132"/>
        <v>#N/A</v>
      </c>
      <c r="BN93" s="63" t="e">
        <f t="shared" si="132"/>
        <v>#N/A</v>
      </c>
      <c r="BO93" s="63" t="e">
        <f t="shared" si="132"/>
        <v>#N/A</v>
      </c>
      <c r="BP93" s="63" t="e">
        <f t="shared" si="132"/>
        <v>#N/A</v>
      </c>
      <c r="BQ93" s="63" t="e">
        <f t="shared" si="132"/>
        <v>#N/A</v>
      </c>
      <c r="BR93" s="63" t="e">
        <f t="shared" si="132"/>
        <v>#N/A</v>
      </c>
      <c r="BS93" s="63" t="e">
        <f t="shared" si="132"/>
        <v>#N/A</v>
      </c>
      <c r="BT93" s="63" t="e">
        <f t="shared" si="132"/>
        <v>#N/A</v>
      </c>
      <c r="BU93" s="63" t="e">
        <f t="shared" si="132"/>
        <v>#N/A</v>
      </c>
      <c r="BV93" s="63" t="e">
        <f t="shared" si="132"/>
        <v>#N/A</v>
      </c>
      <c r="BW93" s="63" t="e">
        <f t="shared" si="132"/>
        <v>#N/A</v>
      </c>
      <c r="BX93" s="63" t="e">
        <f t="shared" si="132"/>
        <v>#N/A</v>
      </c>
      <c r="BY93" s="63" t="e">
        <f t="shared" si="132"/>
        <v>#N/A</v>
      </c>
    </row>
    <row r="94" spans="1:77" x14ac:dyDescent="0.5">
      <c r="A94" s="49"/>
      <c r="B94" s="62">
        <v>0.71</v>
      </c>
      <c r="C94" s="62" t="e">
        <f t="shared" si="87"/>
        <v>#DIV/0!</v>
      </c>
      <c r="D94" s="62" t="e">
        <f t="shared" si="88"/>
        <v>#DIV/0!</v>
      </c>
      <c r="E94" s="59">
        <f t="shared" si="92"/>
        <v>71</v>
      </c>
      <c r="F94" s="59" t="e">
        <f t="shared" si="93"/>
        <v>#DIV/0!</v>
      </c>
      <c r="G94" s="59" t="e">
        <f t="shared" si="94"/>
        <v>#DIV/0!</v>
      </c>
      <c r="H94" s="62" t="e">
        <f t="shared" si="90"/>
        <v>#DIV/0!</v>
      </c>
      <c r="I94" s="62" t="e">
        <f t="shared" si="91"/>
        <v>#DIV/0!</v>
      </c>
      <c r="J94" s="62" t="e">
        <f t="shared" si="95"/>
        <v>#DIV/0!</v>
      </c>
      <c r="K94" s="62" t="e">
        <f t="shared" si="96"/>
        <v>#DIV/0!</v>
      </c>
      <c r="L94" s="62" t="e">
        <f t="shared" si="97"/>
        <v>#DIV/0!</v>
      </c>
      <c r="M94" s="62" t="e">
        <f t="shared" si="98"/>
        <v>#DIV/0!</v>
      </c>
      <c r="N94" s="62" t="e">
        <f t="shared" si="99"/>
        <v>#DIV/0!</v>
      </c>
      <c r="O94" s="17" t="e">
        <f t="shared" si="106"/>
        <v>#DIV/0!</v>
      </c>
      <c r="R94" s="12"/>
      <c r="Z94" s="17" t="s">
        <v>281</v>
      </c>
      <c r="AA94" s="49" t="e">
        <f>H125</f>
        <v>#DIV/0!</v>
      </c>
      <c r="AB94" s="49" t="e">
        <f>I125</f>
        <v>#DIV/0!</v>
      </c>
      <c r="AC94" s="49" t="s">
        <v>290</v>
      </c>
    </row>
    <row r="95" spans="1:77" x14ac:dyDescent="0.5">
      <c r="A95" s="49"/>
      <c r="B95" s="62">
        <v>0.7</v>
      </c>
      <c r="C95" s="62" t="e">
        <f t="shared" si="87"/>
        <v>#DIV/0!</v>
      </c>
      <c r="D95" s="62" t="e">
        <f t="shared" si="88"/>
        <v>#DIV/0!</v>
      </c>
      <c r="E95" s="59">
        <f t="shared" si="92"/>
        <v>70</v>
      </c>
      <c r="F95" s="59" t="e">
        <f t="shared" si="93"/>
        <v>#DIV/0!</v>
      </c>
      <c r="G95" s="59" t="e">
        <f t="shared" si="94"/>
        <v>#DIV/0!</v>
      </c>
      <c r="H95" s="62" t="e">
        <f t="shared" si="90"/>
        <v>#DIV/0!</v>
      </c>
      <c r="I95" s="62" t="e">
        <f t="shared" si="91"/>
        <v>#DIV/0!</v>
      </c>
      <c r="J95" s="62" t="e">
        <f t="shared" si="95"/>
        <v>#DIV/0!</v>
      </c>
      <c r="K95" s="62" t="e">
        <f t="shared" si="96"/>
        <v>#DIV/0!</v>
      </c>
      <c r="L95" s="62" t="e">
        <f t="shared" si="97"/>
        <v>#DIV/0!</v>
      </c>
      <c r="M95" s="62" t="e">
        <f t="shared" si="98"/>
        <v>#DIV/0!</v>
      </c>
      <c r="N95" s="62" t="e">
        <f t="shared" si="99"/>
        <v>#DIV/0!</v>
      </c>
      <c r="O95" s="17" t="e">
        <f t="shared" si="106"/>
        <v>#DIV/0!</v>
      </c>
      <c r="Z95" s="17" t="s">
        <v>282</v>
      </c>
      <c r="AA95" s="49" t="e">
        <f>H130</f>
        <v>#DIV/0!</v>
      </c>
      <c r="AB95" s="49" t="e">
        <f>I130</f>
        <v>#DIV/0!</v>
      </c>
      <c r="AC95" s="49" t="s">
        <v>290</v>
      </c>
      <c r="AP95" s="67" t="s">
        <v>42</v>
      </c>
      <c r="AQ95" s="59"/>
      <c r="AR95" s="63" t="str">
        <f t="shared" ref="AR95:BF95" si="133">IF(AR9="","",AR9*AR91)</f>
        <v/>
      </c>
      <c r="AS95" s="63" t="str">
        <f t="shared" si="133"/>
        <v/>
      </c>
      <c r="AT95" s="63" t="str">
        <f t="shared" si="133"/>
        <v/>
      </c>
      <c r="AU95" s="63" t="str">
        <f t="shared" si="133"/>
        <v/>
      </c>
      <c r="AV95" s="63" t="str">
        <f t="shared" si="133"/>
        <v/>
      </c>
      <c r="AW95" s="63" t="str">
        <f t="shared" si="133"/>
        <v/>
      </c>
      <c r="AX95" s="63" t="str">
        <f t="shared" si="133"/>
        <v/>
      </c>
      <c r="AY95" s="63" t="str">
        <f t="shared" si="133"/>
        <v/>
      </c>
      <c r="AZ95" s="63" t="str">
        <f t="shared" si="133"/>
        <v/>
      </c>
      <c r="BA95" s="63" t="str">
        <f t="shared" si="133"/>
        <v/>
      </c>
      <c r="BB95" s="63" t="str">
        <f t="shared" si="133"/>
        <v/>
      </c>
      <c r="BC95" s="63" t="str">
        <f t="shared" si="133"/>
        <v/>
      </c>
      <c r="BD95" s="63" t="str">
        <f t="shared" si="133"/>
        <v/>
      </c>
      <c r="BE95" s="63" t="str">
        <f t="shared" si="133"/>
        <v/>
      </c>
      <c r="BF95" s="63" t="str">
        <f t="shared" si="133"/>
        <v/>
      </c>
      <c r="BI95" s="67" t="s">
        <v>42</v>
      </c>
      <c r="BJ95" s="59"/>
      <c r="BK95" s="63" t="e">
        <f t="shared" ref="BK95:BY95" si="134">IF(AR9="",NA(),AR9*AR91)</f>
        <v>#N/A</v>
      </c>
      <c r="BL95" s="63" t="e">
        <f t="shared" si="134"/>
        <v>#N/A</v>
      </c>
      <c r="BM95" s="63" t="e">
        <f t="shared" si="134"/>
        <v>#N/A</v>
      </c>
      <c r="BN95" s="63" t="e">
        <f t="shared" si="134"/>
        <v>#N/A</v>
      </c>
      <c r="BO95" s="63" t="e">
        <f t="shared" si="134"/>
        <v>#N/A</v>
      </c>
      <c r="BP95" s="63" t="e">
        <f t="shared" si="134"/>
        <v>#N/A</v>
      </c>
      <c r="BQ95" s="63" t="e">
        <f t="shared" si="134"/>
        <v>#N/A</v>
      </c>
      <c r="BR95" s="63" t="e">
        <f t="shared" si="134"/>
        <v>#N/A</v>
      </c>
      <c r="BS95" s="63" t="e">
        <f t="shared" si="134"/>
        <v>#N/A</v>
      </c>
      <c r="BT95" s="63" t="e">
        <f t="shared" si="134"/>
        <v>#N/A</v>
      </c>
      <c r="BU95" s="63" t="e">
        <f t="shared" si="134"/>
        <v>#N/A</v>
      </c>
      <c r="BV95" s="63" t="e">
        <f t="shared" si="134"/>
        <v>#N/A</v>
      </c>
      <c r="BW95" s="63" t="e">
        <f t="shared" si="134"/>
        <v>#N/A</v>
      </c>
      <c r="BX95" s="63" t="e">
        <f t="shared" si="134"/>
        <v>#N/A</v>
      </c>
      <c r="BY95" s="63" t="e">
        <f t="shared" si="134"/>
        <v>#N/A</v>
      </c>
    </row>
    <row r="96" spans="1:77" x14ac:dyDescent="0.5">
      <c r="A96" s="49"/>
      <c r="B96" s="62">
        <v>0.69</v>
      </c>
      <c r="C96" s="62" t="e">
        <f t="shared" si="87"/>
        <v>#DIV/0!</v>
      </c>
      <c r="D96" s="62" t="e">
        <f t="shared" si="88"/>
        <v>#DIV/0!</v>
      </c>
      <c r="E96" s="59">
        <f t="shared" si="92"/>
        <v>69</v>
      </c>
      <c r="F96" s="59" t="e">
        <f t="shared" si="93"/>
        <v>#DIV/0!</v>
      </c>
      <c r="G96" s="59" t="e">
        <f t="shared" si="94"/>
        <v>#DIV/0!</v>
      </c>
      <c r="H96" s="62" t="e">
        <f t="shared" si="90"/>
        <v>#DIV/0!</v>
      </c>
      <c r="I96" s="62" t="e">
        <f t="shared" si="91"/>
        <v>#DIV/0!</v>
      </c>
      <c r="J96" s="62" t="e">
        <f t="shared" si="95"/>
        <v>#DIV/0!</v>
      </c>
      <c r="K96" s="62" t="e">
        <f t="shared" si="96"/>
        <v>#DIV/0!</v>
      </c>
      <c r="L96" s="62" t="e">
        <f t="shared" si="97"/>
        <v>#DIV/0!</v>
      </c>
      <c r="M96" s="62" t="e">
        <f t="shared" si="98"/>
        <v>#DIV/0!</v>
      </c>
      <c r="N96" s="62" t="e">
        <f t="shared" si="99"/>
        <v>#DIV/0!</v>
      </c>
      <c r="O96" s="17" t="e">
        <f t="shared" si="106"/>
        <v>#DIV/0!</v>
      </c>
      <c r="Z96" s="17" t="s">
        <v>283</v>
      </c>
      <c r="AA96" s="49" t="e">
        <f>H135</f>
        <v>#DIV/0!</v>
      </c>
      <c r="AB96" s="49" t="e">
        <f>I135</f>
        <v>#DIV/0!</v>
      </c>
      <c r="AC96" s="49" t="s">
        <v>290</v>
      </c>
      <c r="AE96" s="49"/>
      <c r="AP96" s="59" t="s">
        <v>45</v>
      </c>
      <c r="AQ96" s="59"/>
      <c r="AR96" s="63" t="str">
        <f t="shared" ref="AR96:BF96" si="135">IF(AR9="","",AR9*AR92)</f>
        <v/>
      </c>
      <c r="AS96" s="63" t="str">
        <f t="shared" si="135"/>
        <v/>
      </c>
      <c r="AT96" s="63" t="str">
        <f t="shared" si="135"/>
        <v/>
      </c>
      <c r="AU96" s="63" t="str">
        <f t="shared" si="135"/>
        <v/>
      </c>
      <c r="AV96" s="63" t="str">
        <f t="shared" si="135"/>
        <v/>
      </c>
      <c r="AW96" s="63" t="str">
        <f t="shared" si="135"/>
        <v/>
      </c>
      <c r="AX96" s="63" t="str">
        <f t="shared" si="135"/>
        <v/>
      </c>
      <c r="AY96" s="63" t="str">
        <f t="shared" si="135"/>
        <v/>
      </c>
      <c r="AZ96" s="63" t="str">
        <f t="shared" si="135"/>
        <v/>
      </c>
      <c r="BA96" s="63" t="str">
        <f t="shared" si="135"/>
        <v/>
      </c>
      <c r="BB96" s="63" t="str">
        <f t="shared" si="135"/>
        <v/>
      </c>
      <c r="BC96" s="63" t="str">
        <f t="shared" si="135"/>
        <v/>
      </c>
      <c r="BD96" s="63" t="str">
        <f t="shared" si="135"/>
        <v/>
      </c>
      <c r="BE96" s="63" t="str">
        <f t="shared" si="135"/>
        <v/>
      </c>
      <c r="BF96" s="63" t="str">
        <f t="shared" si="135"/>
        <v/>
      </c>
      <c r="BI96" s="59" t="s">
        <v>45</v>
      </c>
      <c r="BJ96" s="59"/>
      <c r="BK96" s="63" t="e">
        <f t="shared" ref="BK96:BY96" si="136">IF(AR9="",NA(),AR9*AR92)</f>
        <v>#N/A</v>
      </c>
      <c r="BL96" s="63" t="e">
        <f t="shared" si="136"/>
        <v>#N/A</v>
      </c>
      <c r="BM96" s="63" t="e">
        <f t="shared" si="136"/>
        <v>#N/A</v>
      </c>
      <c r="BN96" s="63" t="e">
        <f t="shared" si="136"/>
        <v>#N/A</v>
      </c>
      <c r="BO96" s="63" t="e">
        <f t="shared" si="136"/>
        <v>#N/A</v>
      </c>
      <c r="BP96" s="63" t="e">
        <f t="shared" si="136"/>
        <v>#N/A</v>
      </c>
      <c r="BQ96" s="63" t="e">
        <f t="shared" si="136"/>
        <v>#N/A</v>
      </c>
      <c r="BR96" s="63" t="e">
        <f t="shared" si="136"/>
        <v>#N/A</v>
      </c>
      <c r="BS96" s="63" t="e">
        <f t="shared" si="136"/>
        <v>#N/A</v>
      </c>
      <c r="BT96" s="63" t="e">
        <f t="shared" si="136"/>
        <v>#N/A</v>
      </c>
      <c r="BU96" s="63" t="e">
        <f t="shared" si="136"/>
        <v>#N/A</v>
      </c>
      <c r="BV96" s="63" t="e">
        <f t="shared" si="136"/>
        <v>#N/A</v>
      </c>
      <c r="BW96" s="63" t="e">
        <f t="shared" si="136"/>
        <v>#N/A</v>
      </c>
      <c r="BX96" s="63" t="e">
        <f t="shared" si="136"/>
        <v>#N/A</v>
      </c>
      <c r="BY96" s="63" t="e">
        <f t="shared" si="136"/>
        <v>#N/A</v>
      </c>
    </row>
    <row r="97" spans="1:77" x14ac:dyDescent="0.5">
      <c r="A97" s="49"/>
      <c r="B97" s="62">
        <v>0.68</v>
      </c>
      <c r="C97" s="62" t="e">
        <f t="shared" ref="C97:C128" si="137">I97/$U$66</f>
        <v>#DIV/0!</v>
      </c>
      <c r="D97" s="62" t="e">
        <f t="shared" ref="D97:D128" si="138">L97/$U$67</f>
        <v>#DIV/0!</v>
      </c>
      <c r="E97" s="59">
        <f t="shared" si="92"/>
        <v>68</v>
      </c>
      <c r="F97" s="59" t="e">
        <f t="shared" si="93"/>
        <v>#DIV/0!</v>
      </c>
      <c r="G97" s="59" t="e">
        <f t="shared" si="94"/>
        <v>#DIV/0!</v>
      </c>
      <c r="H97" s="62" t="e">
        <f t="shared" ref="H97:H128" si="139">IF(OR($Z$64=1,$Z$64=2,$Z$64=3),$U$64*B97,IF($Z$64=4,T142,IF($Z$64=5,AI195,NA())))</f>
        <v>#DIV/0!</v>
      </c>
      <c r="I97" s="62" t="e">
        <f t="shared" ref="I97:I128" si="140">IF(OR($Z$64=1,$Z$64=2,$Z$64=3),(H97-$U$64)/$U$65,IF($Z$64=4,U142,IF($Z$64=5,AJ195,NA())))</f>
        <v>#DIV/0!</v>
      </c>
      <c r="J97" s="62" t="e">
        <f t="shared" si="95"/>
        <v>#DIV/0!</v>
      </c>
      <c r="K97" s="62" t="e">
        <f t="shared" si="96"/>
        <v>#DIV/0!</v>
      </c>
      <c r="L97" s="62" t="e">
        <f t="shared" si="97"/>
        <v>#DIV/0!</v>
      </c>
      <c r="M97" s="62" t="e">
        <f t="shared" si="98"/>
        <v>#DIV/0!</v>
      </c>
      <c r="N97" s="62" t="e">
        <f t="shared" si="99"/>
        <v>#DIV/0!</v>
      </c>
      <c r="O97" s="17" t="e">
        <f t="shared" si="106"/>
        <v>#DIV/0!</v>
      </c>
      <c r="S97" s="12"/>
      <c r="Z97" s="17" t="s">
        <v>284</v>
      </c>
      <c r="AA97" s="49" t="e">
        <f>H140</f>
        <v>#DIV/0!</v>
      </c>
      <c r="AB97" s="49" t="e">
        <f>I140</f>
        <v>#DIV/0!</v>
      </c>
      <c r="AC97" s="49" t="s">
        <v>290</v>
      </c>
      <c r="AP97" s="59" t="s">
        <v>46</v>
      </c>
      <c r="AQ97" s="59"/>
      <c r="AR97" s="63" t="str">
        <f t="shared" ref="AR97:BF97" si="141">IF(AR9="","",AR9*AR93)</f>
        <v/>
      </c>
      <c r="AS97" s="63" t="str">
        <f t="shared" si="141"/>
        <v/>
      </c>
      <c r="AT97" s="63" t="str">
        <f t="shared" si="141"/>
        <v/>
      </c>
      <c r="AU97" s="63" t="str">
        <f t="shared" si="141"/>
        <v/>
      </c>
      <c r="AV97" s="63" t="str">
        <f t="shared" si="141"/>
        <v/>
      </c>
      <c r="AW97" s="63" t="str">
        <f t="shared" si="141"/>
        <v/>
      </c>
      <c r="AX97" s="63" t="str">
        <f t="shared" si="141"/>
        <v/>
      </c>
      <c r="AY97" s="63" t="str">
        <f t="shared" si="141"/>
        <v/>
      </c>
      <c r="AZ97" s="63" t="str">
        <f t="shared" si="141"/>
        <v/>
      </c>
      <c r="BA97" s="63" t="str">
        <f t="shared" si="141"/>
        <v/>
      </c>
      <c r="BB97" s="63" t="str">
        <f t="shared" si="141"/>
        <v/>
      </c>
      <c r="BC97" s="63" t="str">
        <f t="shared" si="141"/>
        <v/>
      </c>
      <c r="BD97" s="63" t="str">
        <f t="shared" si="141"/>
        <v/>
      </c>
      <c r="BE97" s="63" t="str">
        <f t="shared" si="141"/>
        <v/>
      </c>
      <c r="BF97" s="63" t="str">
        <f t="shared" si="141"/>
        <v/>
      </c>
      <c r="BI97" s="59" t="s">
        <v>46</v>
      </c>
      <c r="BJ97" s="59"/>
      <c r="BK97" s="63" t="e">
        <f t="shared" ref="BK97:BY97" si="142">IF(AR9="",NA(),AR9*AR93)</f>
        <v>#N/A</v>
      </c>
      <c r="BL97" s="63" t="e">
        <f t="shared" si="142"/>
        <v>#N/A</v>
      </c>
      <c r="BM97" s="63" t="e">
        <f t="shared" si="142"/>
        <v>#N/A</v>
      </c>
      <c r="BN97" s="63" t="e">
        <f t="shared" si="142"/>
        <v>#N/A</v>
      </c>
      <c r="BO97" s="63" t="e">
        <f t="shared" si="142"/>
        <v>#N/A</v>
      </c>
      <c r="BP97" s="63" t="e">
        <f t="shared" si="142"/>
        <v>#N/A</v>
      </c>
      <c r="BQ97" s="63" t="e">
        <f t="shared" si="142"/>
        <v>#N/A</v>
      </c>
      <c r="BR97" s="63" t="e">
        <f t="shared" si="142"/>
        <v>#N/A</v>
      </c>
      <c r="BS97" s="63" t="e">
        <f t="shared" si="142"/>
        <v>#N/A</v>
      </c>
      <c r="BT97" s="63" t="e">
        <f t="shared" si="142"/>
        <v>#N/A</v>
      </c>
      <c r="BU97" s="63" t="e">
        <f t="shared" si="142"/>
        <v>#N/A</v>
      </c>
      <c r="BV97" s="63" t="e">
        <f t="shared" si="142"/>
        <v>#N/A</v>
      </c>
      <c r="BW97" s="63" t="e">
        <f t="shared" si="142"/>
        <v>#N/A</v>
      </c>
      <c r="BX97" s="63" t="e">
        <f t="shared" si="142"/>
        <v>#N/A</v>
      </c>
      <c r="BY97" s="63" t="e">
        <f t="shared" si="142"/>
        <v>#N/A</v>
      </c>
    </row>
    <row r="98" spans="1:77" x14ac:dyDescent="0.5">
      <c r="A98" s="49"/>
      <c r="B98" s="62">
        <v>0.67</v>
      </c>
      <c r="C98" s="62" t="e">
        <f t="shared" si="137"/>
        <v>#DIV/0!</v>
      </c>
      <c r="D98" s="62" t="e">
        <f t="shared" si="138"/>
        <v>#DIV/0!</v>
      </c>
      <c r="E98" s="59">
        <f t="shared" si="92"/>
        <v>67</v>
      </c>
      <c r="F98" s="59" t="e">
        <f t="shared" si="93"/>
        <v>#DIV/0!</v>
      </c>
      <c r="G98" s="59" t="e">
        <f t="shared" si="94"/>
        <v>#DIV/0!</v>
      </c>
      <c r="H98" s="62" t="e">
        <f t="shared" si="139"/>
        <v>#DIV/0!</v>
      </c>
      <c r="I98" s="62" t="e">
        <f t="shared" si="140"/>
        <v>#DIV/0!</v>
      </c>
      <c r="J98" s="62" t="e">
        <f t="shared" si="95"/>
        <v>#DIV/0!</v>
      </c>
      <c r="K98" s="62" t="e">
        <f t="shared" si="96"/>
        <v>#DIV/0!</v>
      </c>
      <c r="L98" s="62" t="e">
        <f t="shared" si="97"/>
        <v>#DIV/0!</v>
      </c>
      <c r="M98" s="62" t="e">
        <f t="shared" si="98"/>
        <v>#DIV/0!</v>
      </c>
      <c r="N98" s="62" t="e">
        <f t="shared" si="99"/>
        <v>#DIV/0!</v>
      </c>
      <c r="O98" s="17" t="e">
        <f t="shared" si="106"/>
        <v>#DIV/0!</v>
      </c>
      <c r="Z98" s="17" t="s">
        <v>285</v>
      </c>
      <c r="AA98" s="49" t="e">
        <f>H145</f>
        <v>#DIV/0!</v>
      </c>
      <c r="AB98" s="49" t="e">
        <f>I145</f>
        <v>#DIV/0!</v>
      </c>
      <c r="AC98" s="49" t="s">
        <v>290</v>
      </c>
    </row>
    <row r="99" spans="1:77" x14ac:dyDescent="0.5">
      <c r="A99" s="49"/>
      <c r="B99" s="62">
        <v>0.66</v>
      </c>
      <c r="C99" s="62" t="e">
        <f t="shared" si="137"/>
        <v>#DIV/0!</v>
      </c>
      <c r="D99" s="62" t="e">
        <f t="shared" si="138"/>
        <v>#DIV/0!</v>
      </c>
      <c r="E99" s="59">
        <f t="shared" si="92"/>
        <v>66</v>
      </c>
      <c r="F99" s="59" t="e">
        <f t="shared" si="93"/>
        <v>#DIV/0!</v>
      </c>
      <c r="G99" s="59" t="e">
        <f t="shared" si="94"/>
        <v>#DIV/0!</v>
      </c>
      <c r="H99" s="62" t="e">
        <f t="shared" si="139"/>
        <v>#DIV/0!</v>
      </c>
      <c r="I99" s="62" t="e">
        <f t="shared" si="140"/>
        <v>#DIV/0!</v>
      </c>
      <c r="J99" s="62" t="e">
        <f t="shared" si="95"/>
        <v>#DIV/0!</v>
      </c>
      <c r="K99" s="62" t="e">
        <f t="shared" si="96"/>
        <v>#DIV/0!</v>
      </c>
      <c r="L99" s="62" t="e">
        <f t="shared" si="97"/>
        <v>#DIV/0!</v>
      </c>
      <c r="M99" s="62" t="e">
        <f t="shared" si="98"/>
        <v>#DIV/0!</v>
      </c>
      <c r="N99" s="62" t="e">
        <f t="shared" si="99"/>
        <v>#DIV/0!</v>
      </c>
      <c r="O99" s="17" t="e">
        <f t="shared" si="106"/>
        <v>#DIV/0!</v>
      </c>
      <c r="Z99" s="17" t="s">
        <v>286</v>
      </c>
      <c r="AA99" s="49" t="e">
        <f>H150</f>
        <v>#DIV/0!</v>
      </c>
      <c r="AB99" s="49" t="e">
        <f>I150</f>
        <v>#DIV/0!</v>
      </c>
      <c r="AC99" s="49" t="s">
        <v>290</v>
      </c>
      <c r="AP99" s="53" t="s">
        <v>49</v>
      </c>
      <c r="BI99" s="53" t="s">
        <v>49</v>
      </c>
    </row>
    <row r="100" spans="1:77" x14ac:dyDescent="0.5">
      <c r="A100" s="49"/>
      <c r="B100" s="62">
        <v>0.65</v>
      </c>
      <c r="C100" s="62" t="e">
        <f t="shared" si="137"/>
        <v>#DIV/0!</v>
      </c>
      <c r="D100" s="62" t="e">
        <f t="shared" si="138"/>
        <v>#DIV/0!</v>
      </c>
      <c r="E100" s="59">
        <f t="shared" si="92"/>
        <v>65</v>
      </c>
      <c r="F100" s="59" t="e">
        <f t="shared" si="93"/>
        <v>#DIV/0!</v>
      </c>
      <c r="G100" s="59" t="e">
        <f t="shared" si="94"/>
        <v>#DIV/0!</v>
      </c>
      <c r="H100" s="62" t="e">
        <f t="shared" si="139"/>
        <v>#DIV/0!</v>
      </c>
      <c r="I100" s="62" t="e">
        <f t="shared" si="140"/>
        <v>#DIV/0!</v>
      </c>
      <c r="J100" s="62" t="e">
        <f t="shared" si="95"/>
        <v>#DIV/0!</v>
      </c>
      <c r="K100" s="62" t="e">
        <f t="shared" si="96"/>
        <v>#DIV/0!</v>
      </c>
      <c r="L100" s="62" t="e">
        <f t="shared" si="97"/>
        <v>#DIV/0!</v>
      </c>
      <c r="M100" s="62" t="e">
        <f t="shared" si="98"/>
        <v>#DIV/0!</v>
      </c>
      <c r="N100" s="62" t="e">
        <f t="shared" si="99"/>
        <v>#DIV/0!</v>
      </c>
      <c r="O100" s="17" t="e">
        <f t="shared" si="106"/>
        <v>#DIV/0!</v>
      </c>
      <c r="R100" s="12"/>
      <c r="Z100" s="17" t="s">
        <v>287</v>
      </c>
      <c r="AA100" s="49" t="e">
        <f>H155</f>
        <v>#DIV/0!</v>
      </c>
      <c r="AB100" s="49" t="e">
        <f>I155</f>
        <v>#DIV/0!</v>
      </c>
      <c r="AC100" s="49" t="s">
        <v>290</v>
      </c>
      <c r="AN100" s="12"/>
      <c r="AP100" s="65" t="s">
        <v>23</v>
      </c>
      <c r="AQ100" s="59"/>
      <c r="AR100" s="63" t="str">
        <f t="shared" ref="AR100:BF100" si="143">IF(AR$79=0,AR9,"")</f>
        <v/>
      </c>
      <c r="AS100" s="63" t="str">
        <f t="shared" si="143"/>
        <v/>
      </c>
      <c r="AT100" s="63" t="str">
        <f t="shared" si="143"/>
        <v/>
      </c>
      <c r="AU100" s="63" t="str">
        <f t="shared" si="143"/>
        <v/>
      </c>
      <c r="AV100" s="63" t="str">
        <f t="shared" si="143"/>
        <v/>
      </c>
      <c r="AW100" s="63" t="str">
        <f t="shared" si="143"/>
        <v/>
      </c>
      <c r="AX100" s="63" t="str">
        <f t="shared" si="143"/>
        <v/>
      </c>
      <c r="AY100" s="63" t="str">
        <f t="shared" si="143"/>
        <v/>
      </c>
      <c r="AZ100" s="63" t="str">
        <f t="shared" si="143"/>
        <v/>
      </c>
      <c r="BA100" s="63" t="str">
        <f t="shared" si="143"/>
        <v/>
      </c>
      <c r="BB100" s="63" t="str">
        <f t="shared" si="143"/>
        <v/>
      </c>
      <c r="BC100" s="63" t="str">
        <f t="shared" si="143"/>
        <v/>
      </c>
      <c r="BD100" s="63" t="str">
        <f t="shared" si="143"/>
        <v/>
      </c>
      <c r="BE100" s="63" t="str">
        <f t="shared" si="143"/>
        <v/>
      </c>
      <c r="BF100" s="63" t="str">
        <f t="shared" si="143"/>
        <v/>
      </c>
      <c r="BI100" s="65" t="s">
        <v>23</v>
      </c>
      <c r="BJ100" s="59"/>
      <c r="BK100" s="63" t="e">
        <f t="shared" ref="BK100:BY102" si="144">IF(AR$79=0,AR9,NA())</f>
        <v>#N/A</v>
      </c>
      <c r="BL100" s="63" t="e">
        <f t="shared" si="144"/>
        <v>#N/A</v>
      </c>
      <c r="BM100" s="63" t="e">
        <f t="shared" si="144"/>
        <v>#N/A</v>
      </c>
      <c r="BN100" s="63" t="e">
        <f t="shared" si="144"/>
        <v>#N/A</v>
      </c>
      <c r="BO100" s="63" t="e">
        <f t="shared" si="144"/>
        <v>#N/A</v>
      </c>
      <c r="BP100" s="63" t="e">
        <f t="shared" si="144"/>
        <v>#N/A</v>
      </c>
      <c r="BQ100" s="63" t="e">
        <f t="shared" si="144"/>
        <v>#N/A</v>
      </c>
      <c r="BR100" s="63" t="e">
        <f t="shared" si="144"/>
        <v>#N/A</v>
      </c>
      <c r="BS100" s="63" t="e">
        <f t="shared" si="144"/>
        <v>#N/A</v>
      </c>
      <c r="BT100" s="63" t="e">
        <f t="shared" si="144"/>
        <v>#N/A</v>
      </c>
      <c r="BU100" s="63" t="e">
        <f t="shared" si="144"/>
        <v>#N/A</v>
      </c>
      <c r="BV100" s="63" t="e">
        <f t="shared" si="144"/>
        <v>#N/A</v>
      </c>
      <c r="BW100" s="63" t="e">
        <f t="shared" si="144"/>
        <v>#N/A</v>
      </c>
      <c r="BX100" s="63" t="e">
        <f t="shared" si="144"/>
        <v>#N/A</v>
      </c>
      <c r="BY100" s="63" t="e">
        <f t="shared" si="144"/>
        <v>#N/A</v>
      </c>
    </row>
    <row r="101" spans="1:77" x14ac:dyDescent="0.5">
      <c r="A101" s="49"/>
      <c r="B101" s="62">
        <v>0.64</v>
      </c>
      <c r="C101" s="62" t="e">
        <f t="shared" si="137"/>
        <v>#DIV/0!</v>
      </c>
      <c r="D101" s="62" t="e">
        <f t="shared" si="138"/>
        <v>#DIV/0!</v>
      </c>
      <c r="E101" s="59">
        <f t="shared" si="92"/>
        <v>64</v>
      </c>
      <c r="F101" s="59" t="e">
        <f t="shared" si="93"/>
        <v>#DIV/0!</v>
      </c>
      <c r="G101" s="59" t="e">
        <f t="shared" si="94"/>
        <v>#DIV/0!</v>
      </c>
      <c r="H101" s="62" t="e">
        <f t="shared" si="139"/>
        <v>#DIV/0!</v>
      </c>
      <c r="I101" s="62" t="e">
        <f t="shared" si="140"/>
        <v>#DIV/0!</v>
      </c>
      <c r="J101" s="62" t="e">
        <f t="shared" si="95"/>
        <v>#DIV/0!</v>
      </c>
      <c r="K101" s="62" t="e">
        <f t="shared" si="96"/>
        <v>#DIV/0!</v>
      </c>
      <c r="L101" s="62" t="e">
        <f t="shared" si="97"/>
        <v>#DIV/0!</v>
      </c>
      <c r="M101" s="62" t="e">
        <f t="shared" si="98"/>
        <v>#DIV/0!</v>
      </c>
      <c r="N101" s="62" t="e">
        <f t="shared" si="99"/>
        <v>#DIV/0!</v>
      </c>
      <c r="O101" s="17" t="e">
        <f t="shared" si="106"/>
        <v>#DIV/0!</v>
      </c>
      <c r="Z101" s="17" t="s">
        <v>288</v>
      </c>
      <c r="AA101" s="49" t="e">
        <f>H160</f>
        <v>#DIV/0!</v>
      </c>
      <c r="AB101" s="49" t="e">
        <f>I160</f>
        <v>#DIV/0!</v>
      </c>
      <c r="AC101" s="49" t="s">
        <v>290</v>
      </c>
      <c r="AN101" s="55"/>
      <c r="AP101" s="67" t="s">
        <v>18</v>
      </c>
      <c r="AQ101" s="59"/>
      <c r="AR101" s="63" t="str">
        <f t="shared" ref="AR101:BF101" si="145">IF(AR$79=0,AR10,"")</f>
        <v/>
      </c>
      <c r="AS101" s="63" t="str">
        <f t="shared" si="145"/>
        <v/>
      </c>
      <c r="AT101" s="63" t="str">
        <f t="shared" si="145"/>
        <v/>
      </c>
      <c r="AU101" s="63" t="str">
        <f t="shared" si="145"/>
        <v/>
      </c>
      <c r="AV101" s="63" t="str">
        <f t="shared" si="145"/>
        <v/>
      </c>
      <c r="AW101" s="63" t="str">
        <f t="shared" si="145"/>
        <v/>
      </c>
      <c r="AX101" s="63" t="str">
        <f t="shared" si="145"/>
        <v/>
      </c>
      <c r="AY101" s="63" t="str">
        <f t="shared" si="145"/>
        <v/>
      </c>
      <c r="AZ101" s="63" t="str">
        <f t="shared" si="145"/>
        <v/>
      </c>
      <c r="BA101" s="63" t="str">
        <f t="shared" si="145"/>
        <v/>
      </c>
      <c r="BB101" s="63" t="str">
        <f t="shared" si="145"/>
        <v/>
      </c>
      <c r="BC101" s="63" t="str">
        <f t="shared" si="145"/>
        <v/>
      </c>
      <c r="BD101" s="63" t="str">
        <f t="shared" si="145"/>
        <v/>
      </c>
      <c r="BE101" s="63" t="str">
        <f t="shared" si="145"/>
        <v/>
      </c>
      <c r="BF101" s="63" t="str">
        <f t="shared" si="145"/>
        <v/>
      </c>
      <c r="BI101" s="67" t="s">
        <v>18</v>
      </c>
      <c r="BJ101" s="59"/>
      <c r="BK101" s="63" t="e">
        <f t="shared" si="144"/>
        <v>#N/A</v>
      </c>
      <c r="BL101" s="63" t="e">
        <f t="shared" si="144"/>
        <v>#N/A</v>
      </c>
      <c r="BM101" s="63" t="e">
        <f t="shared" si="144"/>
        <v>#N/A</v>
      </c>
      <c r="BN101" s="63" t="e">
        <f t="shared" si="144"/>
        <v>#N/A</v>
      </c>
      <c r="BO101" s="63" t="e">
        <f t="shared" si="144"/>
        <v>#N/A</v>
      </c>
      <c r="BP101" s="63" t="e">
        <f t="shared" si="144"/>
        <v>#N/A</v>
      </c>
      <c r="BQ101" s="63" t="e">
        <f t="shared" si="144"/>
        <v>#N/A</v>
      </c>
      <c r="BR101" s="63" t="e">
        <f t="shared" si="144"/>
        <v>#N/A</v>
      </c>
      <c r="BS101" s="63" t="e">
        <f t="shared" si="144"/>
        <v>#N/A</v>
      </c>
      <c r="BT101" s="63" t="e">
        <f t="shared" si="144"/>
        <v>#N/A</v>
      </c>
      <c r="BU101" s="63" t="e">
        <f t="shared" si="144"/>
        <v>#N/A</v>
      </c>
      <c r="BV101" s="63" t="e">
        <f t="shared" si="144"/>
        <v>#N/A</v>
      </c>
      <c r="BW101" s="63" t="e">
        <f t="shared" si="144"/>
        <v>#N/A</v>
      </c>
      <c r="BX101" s="63" t="e">
        <f t="shared" si="144"/>
        <v>#N/A</v>
      </c>
      <c r="BY101" s="63" t="e">
        <f t="shared" si="144"/>
        <v>#N/A</v>
      </c>
    </row>
    <row r="102" spans="1:77" x14ac:dyDescent="0.5">
      <c r="A102" s="49"/>
      <c r="B102" s="62">
        <v>0.63</v>
      </c>
      <c r="C102" s="62" t="e">
        <f t="shared" si="137"/>
        <v>#DIV/0!</v>
      </c>
      <c r="D102" s="62" t="e">
        <f t="shared" si="138"/>
        <v>#DIV/0!</v>
      </c>
      <c r="E102" s="59">
        <f t="shared" si="92"/>
        <v>63</v>
      </c>
      <c r="F102" s="59" t="e">
        <f t="shared" si="93"/>
        <v>#DIV/0!</v>
      </c>
      <c r="G102" s="59" t="e">
        <f t="shared" si="94"/>
        <v>#DIV/0!</v>
      </c>
      <c r="H102" s="62" t="e">
        <f t="shared" si="139"/>
        <v>#DIV/0!</v>
      </c>
      <c r="I102" s="62" t="e">
        <f t="shared" si="140"/>
        <v>#DIV/0!</v>
      </c>
      <c r="J102" s="62" t="e">
        <f t="shared" si="95"/>
        <v>#DIV/0!</v>
      </c>
      <c r="K102" s="62" t="e">
        <f t="shared" si="96"/>
        <v>#DIV/0!</v>
      </c>
      <c r="L102" s="62" t="e">
        <f t="shared" si="97"/>
        <v>#DIV/0!</v>
      </c>
      <c r="M102" s="62" t="e">
        <f t="shared" si="98"/>
        <v>#DIV/0!</v>
      </c>
      <c r="N102" s="62" t="e">
        <f t="shared" si="99"/>
        <v>#DIV/0!</v>
      </c>
      <c r="O102" s="17" t="e">
        <f t="shared" si="106"/>
        <v>#DIV/0!</v>
      </c>
      <c r="Z102" s="17" t="s">
        <v>289</v>
      </c>
      <c r="AA102" s="49" t="e">
        <f>H165</f>
        <v>#DIV/0!</v>
      </c>
      <c r="AB102" s="49" t="e">
        <f>I165</f>
        <v>#DIV/0!</v>
      </c>
      <c r="AC102" s="49" t="s">
        <v>290</v>
      </c>
      <c r="AN102" s="55"/>
      <c r="AP102" s="67" t="s">
        <v>0</v>
      </c>
      <c r="AQ102" s="59"/>
      <c r="AR102" s="63" t="str">
        <f t="shared" ref="AR102:BF102" si="146">IF(AR$79=0,AR11,"")</f>
        <v/>
      </c>
      <c r="AS102" s="63" t="str">
        <f t="shared" si="146"/>
        <v/>
      </c>
      <c r="AT102" s="63" t="str">
        <f t="shared" si="146"/>
        <v/>
      </c>
      <c r="AU102" s="63" t="str">
        <f t="shared" si="146"/>
        <v/>
      </c>
      <c r="AV102" s="63" t="str">
        <f t="shared" si="146"/>
        <v/>
      </c>
      <c r="AW102" s="63" t="str">
        <f t="shared" si="146"/>
        <v/>
      </c>
      <c r="AX102" s="63" t="str">
        <f t="shared" si="146"/>
        <v/>
      </c>
      <c r="AY102" s="63" t="str">
        <f t="shared" si="146"/>
        <v/>
      </c>
      <c r="AZ102" s="63" t="str">
        <f t="shared" si="146"/>
        <v/>
      </c>
      <c r="BA102" s="63" t="str">
        <f t="shared" si="146"/>
        <v/>
      </c>
      <c r="BB102" s="63" t="str">
        <f t="shared" si="146"/>
        <v/>
      </c>
      <c r="BC102" s="63" t="str">
        <f t="shared" si="146"/>
        <v/>
      </c>
      <c r="BD102" s="63" t="str">
        <f t="shared" si="146"/>
        <v/>
      </c>
      <c r="BE102" s="63" t="str">
        <f t="shared" si="146"/>
        <v/>
      </c>
      <c r="BF102" s="63" t="str">
        <f t="shared" si="146"/>
        <v/>
      </c>
      <c r="BI102" s="67" t="s">
        <v>0</v>
      </c>
      <c r="BJ102" s="59"/>
      <c r="BK102" s="63" t="e">
        <f t="shared" si="144"/>
        <v>#N/A</v>
      </c>
      <c r="BL102" s="63" t="e">
        <f t="shared" si="144"/>
        <v>#N/A</v>
      </c>
      <c r="BM102" s="63" t="e">
        <f t="shared" si="144"/>
        <v>#N/A</v>
      </c>
      <c r="BN102" s="63" t="e">
        <f t="shared" si="144"/>
        <v>#N/A</v>
      </c>
      <c r="BO102" s="63" t="e">
        <f t="shared" si="144"/>
        <v>#N/A</v>
      </c>
      <c r="BP102" s="63" t="e">
        <f t="shared" si="144"/>
        <v>#N/A</v>
      </c>
      <c r="BQ102" s="63" t="e">
        <f t="shared" si="144"/>
        <v>#N/A</v>
      </c>
      <c r="BR102" s="63" t="e">
        <f t="shared" si="144"/>
        <v>#N/A</v>
      </c>
      <c r="BS102" s="63" t="e">
        <f t="shared" si="144"/>
        <v>#N/A</v>
      </c>
      <c r="BT102" s="63" t="e">
        <f t="shared" si="144"/>
        <v>#N/A</v>
      </c>
      <c r="BU102" s="63" t="e">
        <f t="shared" si="144"/>
        <v>#N/A</v>
      </c>
      <c r="BV102" s="63" t="e">
        <f t="shared" si="144"/>
        <v>#N/A</v>
      </c>
      <c r="BW102" s="63" t="e">
        <f t="shared" si="144"/>
        <v>#N/A</v>
      </c>
      <c r="BX102" s="63" t="e">
        <f t="shared" si="144"/>
        <v>#N/A</v>
      </c>
      <c r="BY102" s="63" t="e">
        <f t="shared" si="144"/>
        <v>#N/A</v>
      </c>
    </row>
    <row r="103" spans="1:77" x14ac:dyDescent="0.5">
      <c r="A103" s="49"/>
      <c r="B103" s="62">
        <v>0.62</v>
      </c>
      <c r="C103" s="62" t="e">
        <f t="shared" si="137"/>
        <v>#DIV/0!</v>
      </c>
      <c r="D103" s="62" t="e">
        <f t="shared" si="138"/>
        <v>#DIV/0!</v>
      </c>
      <c r="E103" s="59">
        <f t="shared" si="92"/>
        <v>62</v>
      </c>
      <c r="F103" s="59" t="e">
        <f t="shared" si="93"/>
        <v>#DIV/0!</v>
      </c>
      <c r="G103" s="59" t="e">
        <f t="shared" si="94"/>
        <v>#DIV/0!</v>
      </c>
      <c r="H103" s="62" t="e">
        <f t="shared" si="139"/>
        <v>#DIV/0!</v>
      </c>
      <c r="I103" s="62" t="e">
        <f t="shared" si="140"/>
        <v>#DIV/0!</v>
      </c>
      <c r="J103" s="62" t="e">
        <f t="shared" si="95"/>
        <v>#DIV/0!</v>
      </c>
      <c r="K103" s="62" t="e">
        <f t="shared" si="96"/>
        <v>#DIV/0!</v>
      </c>
      <c r="L103" s="62" t="e">
        <f t="shared" si="97"/>
        <v>#DIV/0!</v>
      </c>
      <c r="M103" s="62" t="e">
        <f t="shared" si="98"/>
        <v>#DIV/0!</v>
      </c>
      <c r="N103" s="62" t="e">
        <f t="shared" si="99"/>
        <v>#DIV/0!</v>
      </c>
      <c r="O103" s="17" t="e">
        <f t="shared" si="106"/>
        <v>#DIV/0!</v>
      </c>
      <c r="R103" s="12"/>
      <c r="AN103" s="55"/>
    </row>
    <row r="104" spans="1:77" x14ac:dyDescent="0.5">
      <c r="A104" s="49"/>
      <c r="B104" s="62">
        <v>0.61</v>
      </c>
      <c r="C104" s="62" t="e">
        <f t="shared" si="137"/>
        <v>#DIV/0!</v>
      </c>
      <c r="D104" s="62" t="e">
        <f t="shared" si="138"/>
        <v>#DIV/0!</v>
      </c>
      <c r="E104" s="59">
        <f t="shared" si="92"/>
        <v>61</v>
      </c>
      <c r="F104" s="59" t="e">
        <f t="shared" si="93"/>
        <v>#DIV/0!</v>
      </c>
      <c r="G104" s="59" t="e">
        <f t="shared" si="94"/>
        <v>#DIV/0!</v>
      </c>
      <c r="H104" s="62" t="e">
        <f t="shared" si="139"/>
        <v>#DIV/0!</v>
      </c>
      <c r="I104" s="62" t="e">
        <f t="shared" si="140"/>
        <v>#DIV/0!</v>
      </c>
      <c r="J104" s="62" t="e">
        <f t="shared" si="95"/>
        <v>#DIV/0!</v>
      </c>
      <c r="K104" s="62" t="e">
        <f t="shared" si="96"/>
        <v>#DIV/0!</v>
      </c>
      <c r="L104" s="62" t="e">
        <f t="shared" si="97"/>
        <v>#DIV/0!</v>
      </c>
      <c r="M104" s="62" t="e">
        <f t="shared" si="98"/>
        <v>#DIV/0!</v>
      </c>
      <c r="N104" s="62" t="e">
        <f t="shared" si="99"/>
        <v>#DIV/0!</v>
      </c>
      <c r="O104" s="17" t="e">
        <f t="shared" si="106"/>
        <v>#DIV/0!</v>
      </c>
      <c r="R104" s="12"/>
      <c r="AN104" s="55"/>
      <c r="AP104" s="53" t="s">
        <v>81</v>
      </c>
    </row>
    <row r="105" spans="1:77" x14ac:dyDescent="0.5">
      <c r="A105" s="49"/>
      <c r="B105" s="62">
        <v>0.6</v>
      </c>
      <c r="C105" s="62" t="e">
        <f t="shared" si="137"/>
        <v>#DIV/0!</v>
      </c>
      <c r="D105" s="62" t="e">
        <f t="shared" si="138"/>
        <v>#DIV/0!</v>
      </c>
      <c r="E105" s="59">
        <f t="shared" si="92"/>
        <v>60</v>
      </c>
      <c r="F105" s="59" t="e">
        <f t="shared" si="93"/>
        <v>#DIV/0!</v>
      </c>
      <c r="G105" s="59" t="e">
        <f t="shared" si="94"/>
        <v>#DIV/0!</v>
      </c>
      <c r="H105" s="62" t="e">
        <f t="shared" si="139"/>
        <v>#DIV/0!</v>
      </c>
      <c r="I105" s="62" t="e">
        <f t="shared" si="140"/>
        <v>#DIV/0!</v>
      </c>
      <c r="J105" s="62" t="e">
        <f t="shared" si="95"/>
        <v>#DIV/0!</v>
      </c>
      <c r="K105" s="62" t="e">
        <f t="shared" si="96"/>
        <v>#DIV/0!</v>
      </c>
      <c r="L105" s="62" t="e">
        <f t="shared" si="97"/>
        <v>#DIV/0!</v>
      </c>
      <c r="M105" s="62" t="e">
        <f t="shared" si="98"/>
        <v>#DIV/0!</v>
      </c>
      <c r="N105" s="62" t="e">
        <f t="shared" si="99"/>
        <v>#DIV/0!</v>
      </c>
      <c r="O105" s="17" t="e">
        <f t="shared" si="106"/>
        <v>#DIV/0!</v>
      </c>
      <c r="R105" s="12"/>
      <c r="AN105" s="55"/>
      <c r="AP105" s="59" t="s">
        <v>82</v>
      </c>
      <c r="AQ105" s="59"/>
      <c r="AR105" s="63" t="str">
        <f>IF(AR83="","",AR83)</f>
        <v/>
      </c>
      <c r="AS105" s="63" t="str">
        <f t="shared" ref="AS105:AZ105" si="147">IF(AS83="","",AS83)</f>
        <v/>
      </c>
      <c r="AT105" s="63" t="str">
        <f t="shared" si="147"/>
        <v/>
      </c>
      <c r="AU105" s="63" t="str">
        <f t="shared" si="147"/>
        <v/>
      </c>
      <c r="AV105" s="63" t="str">
        <f t="shared" si="147"/>
        <v/>
      </c>
      <c r="AW105" s="63" t="str">
        <f t="shared" si="147"/>
        <v/>
      </c>
      <c r="AX105" s="63" t="str">
        <f t="shared" si="147"/>
        <v/>
      </c>
      <c r="AY105" s="63" t="str">
        <f t="shared" si="147"/>
        <v/>
      </c>
      <c r="AZ105" s="63" t="str">
        <f t="shared" si="147"/>
        <v/>
      </c>
      <c r="BA105" s="63" t="str">
        <f t="shared" ref="BA105:BF105" si="148">IF(BA83="","",BA83)</f>
        <v/>
      </c>
      <c r="BB105" s="63" t="str">
        <f t="shared" si="148"/>
        <v/>
      </c>
      <c r="BC105" s="63" t="str">
        <f t="shared" si="148"/>
        <v/>
      </c>
      <c r="BD105" s="63" t="str">
        <f t="shared" si="148"/>
        <v/>
      </c>
      <c r="BE105" s="63" t="str">
        <f t="shared" si="148"/>
        <v/>
      </c>
      <c r="BF105" s="63" t="str">
        <f t="shared" si="148"/>
        <v/>
      </c>
    </row>
    <row r="106" spans="1:77" x14ac:dyDescent="0.5">
      <c r="A106" s="49"/>
      <c r="B106" s="62">
        <v>0.59</v>
      </c>
      <c r="C106" s="62" t="e">
        <f t="shared" si="137"/>
        <v>#DIV/0!</v>
      </c>
      <c r="D106" s="62" t="e">
        <f t="shared" si="138"/>
        <v>#DIV/0!</v>
      </c>
      <c r="E106" s="59">
        <f t="shared" si="92"/>
        <v>59</v>
      </c>
      <c r="F106" s="59" t="e">
        <f t="shared" si="93"/>
        <v>#DIV/0!</v>
      </c>
      <c r="G106" s="59" t="e">
        <f t="shared" si="94"/>
        <v>#DIV/0!</v>
      </c>
      <c r="H106" s="62" t="e">
        <f t="shared" si="139"/>
        <v>#DIV/0!</v>
      </c>
      <c r="I106" s="62" t="e">
        <f t="shared" si="140"/>
        <v>#DIV/0!</v>
      </c>
      <c r="J106" s="62" t="e">
        <f t="shared" si="95"/>
        <v>#DIV/0!</v>
      </c>
      <c r="K106" s="62" t="e">
        <f t="shared" si="96"/>
        <v>#DIV/0!</v>
      </c>
      <c r="L106" s="62" t="e">
        <f t="shared" si="97"/>
        <v>#DIV/0!</v>
      </c>
      <c r="M106" s="62" t="e">
        <f t="shared" si="98"/>
        <v>#DIV/0!</v>
      </c>
      <c r="N106" s="62" t="e">
        <f t="shared" si="99"/>
        <v>#DIV/0!</v>
      </c>
      <c r="O106" s="17" t="e">
        <f t="shared" si="106"/>
        <v>#DIV/0!</v>
      </c>
      <c r="R106" s="12"/>
      <c r="AN106" s="55"/>
      <c r="AP106" s="59" t="s">
        <v>83</v>
      </c>
      <c r="AQ106" s="59"/>
      <c r="AR106" s="63" t="str">
        <f>IF(AR83="","",AR91)</f>
        <v/>
      </c>
      <c r="AS106" s="63" t="str">
        <f t="shared" ref="AS106:AZ106" si="149">IF(AS83="","",AS91)</f>
        <v/>
      </c>
      <c r="AT106" s="63" t="str">
        <f t="shared" si="149"/>
        <v/>
      </c>
      <c r="AU106" s="63" t="str">
        <f t="shared" si="149"/>
        <v/>
      </c>
      <c r="AV106" s="63" t="str">
        <f t="shared" si="149"/>
        <v/>
      </c>
      <c r="AW106" s="63" t="str">
        <f t="shared" si="149"/>
        <v/>
      </c>
      <c r="AX106" s="63" t="str">
        <f t="shared" si="149"/>
        <v/>
      </c>
      <c r="AY106" s="63" t="str">
        <f t="shared" si="149"/>
        <v/>
      </c>
      <c r="AZ106" s="63" t="str">
        <f t="shared" si="149"/>
        <v/>
      </c>
      <c r="BA106" s="63" t="str">
        <f t="shared" ref="BA106:BF106" si="150">IF(BA83="","",BA91)</f>
        <v/>
      </c>
      <c r="BB106" s="63" t="str">
        <f t="shared" si="150"/>
        <v/>
      </c>
      <c r="BC106" s="63" t="str">
        <f t="shared" si="150"/>
        <v/>
      </c>
      <c r="BD106" s="63" t="str">
        <f t="shared" si="150"/>
        <v/>
      </c>
      <c r="BE106" s="63" t="str">
        <f t="shared" si="150"/>
        <v/>
      </c>
      <c r="BF106" s="63" t="str">
        <f t="shared" si="150"/>
        <v/>
      </c>
    </row>
    <row r="107" spans="1:77" x14ac:dyDescent="0.5">
      <c r="A107" s="49"/>
      <c r="B107" s="62">
        <v>0.57999999999999996</v>
      </c>
      <c r="C107" s="62" t="e">
        <f t="shared" si="137"/>
        <v>#DIV/0!</v>
      </c>
      <c r="D107" s="62" t="e">
        <f t="shared" si="138"/>
        <v>#DIV/0!</v>
      </c>
      <c r="E107" s="59">
        <f t="shared" si="92"/>
        <v>57.999999999999993</v>
      </c>
      <c r="F107" s="59" t="e">
        <f t="shared" si="93"/>
        <v>#DIV/0!</v>
      </c>
      <c r="G107" s="59" t="e">
        <f t="shared" si="94"/>
        <v>#DIV/0!</v>
      </c>
      <c r="H107" s="62" t="e">
        <f t="shared" si="139"/>
        <v>#DIV/0!</v>
      </c>
      <c r="I107" s="62" t="e">
        <f t="shared" si="140"/>
        <v>#DIV/0!</v>
      </c>
      <c r="J107" s="62" t="e">
        <f t="shared" si="95"/>
        <v>#DIV/0!</v>
      </c>
      <c r="K107" s="62" t="e">
        <f t="shared" si="96"/>
        <v>#DIV/0!</v>
      </c>
      <c r="L107" s="62" t="e">
        <f t="shared" si="97"/>
        <v>#DIV/0!</v>
      </c>
      <c r="M107" s="62" t="e">
        <f t="shared" si="98"/>
        <v>#DIV/0!</v>
      </c>
      <c r="N107" s="62" t="e">
        <f t="shared" si="99"/>
        <v>#DIV/0!</v>
      </c>
      <c r="O107" s="17" t="e">
        <f t="shared" si="106"/>
        <v>#DIV/0!</v>
      </c>
      <c r="R107" s="12"/>
      <c r="AN107" s="55"/>
      <c r="AP107" s="59" t="s">
        <v>84</v>
      </c>
      <c r="AQ107" s="59"/>
      <c r="AR107" s="63" t="str">
        <f>IF(AR105="","",(AR105-AR106)^2)</f>
        <v/>
      </c>
      <c r="AS107" s="63" t="str">
        <f t="shared" ref="AS107:AZ107" si="151">IF(AS105="","",(AS105-AS106)^2)</f>
        <v/>
      </c>
      <c r="AT107" s="63" t="str">
        <f t="shared" si="151"/>
        <v/>
      </c>
      <c r="AU107" s="63" t="str">
        <f t="shared" si="151"/>
        <v/>
      </c>
      <c r="AV107" s="63" t="str">
        <f t="shared" si="151"/>
        <v/>
      </c>
      <c r="AW107" s="63" t="str">
        <f t="shared" si="151"/>
        <v/>
      </c>
      <c r="AX107" s="63" t="str">
        <f t="shared" si="151"/>
        <v/>
      </c>
      <c r="AY107" s="63" t="str">
        <f t="shared" si="151"/>
        <v/>
      </c>
      <c r="AZ107" s="63" t="str">
        <f t="shared" si="151"/>
        <v/>
      </c>
      <c r="BA107" s="63" t="str">
        <f t="shared" ref="BA107:BF107" si="152">IF(BA105="","",(BA105-BA106)^2)</f>
        <v/>
      </c>
      <c r="BB107" s="63" t="str">
        <f t="shared" si="152"/>
        <v/>
      </c>
      <c r="BC107" s="63" t="str">
        <f t="shared" si="152"/>
        <v/>
      </c>
      <c r="BD107" s="63" t="str">
        <f t="shared" si="152"/>
        <v/>
      </c>
      <c r="BE107" s="63" t="str">
        <f t="shared" si="152"/>
        <v/>
      </c>
      <c r="BF107" s="63" t="str">
        <f t="shared" si="152"/>
        <v/>
      </c>
    </row>
    <row r="108" spans="1:77" x14ac:dyDescent="0.5">
      <c r="A108" s="49"/>
      <c r="B108" s="62">
        <v>0.56999999999999995</v>
      </c>
      <c r="C108" s="62" t="e">
        <f t="shared" si="137"/>
        <v>#DIV/0!</v>
      </c>
      <c r="D108" s="62" t="e">
        <f t="shared" si="138"/>
        <v>#DIV/0!</v>
      </c>
      <c r="E108" s="59">
        <f t="shared" si="92"/>
        <v>56.999999999999993</v>
      </c>
      <c r="F108" s="59" t="e">
        <f t="shared" si="93"/>
        <v>#DIV/0!</v>
      </c>
      <c r="G108" s="59" t="e">
        <f t="shared" si="94"/>
        <v>#DIV/0!</v>
      </c>
      <c r="H108" s="62" t="e">
        <f t="shared" si="139"/>
        <v>#DIV/0!</v>
      </c>
      <c r="I108" s="62" t="e">
        <f t="shared" si="140"/>
        <v>#DIV/0!</v>
      </c>
      <c r="J108" s="62" t="e">
        <f t="shared" si="95"/>
        <v>#DIV/0!</v>
      </c>
      <c r="K108" s="62" t="e">
        <f t="shared" si="96"/>
        <v>#DIV/0!</v>
      </c>
      <c r="L108" s="62" t="e">
        <f t="shared" si="97"/>
        <v>#DIV/0!</v>
      </c>
      <c r="M108" s="62" t="e">
        <f t="shared" si="98"/>
        <v>#DIV/0!</v>
      </c>
      <c r="N108" s="62" t="e">
        <f t="shared" si="99"/>
        <v>#DIV/0!</v>
      </c>
      <c r="O108" s="17" t="e">
        <f t="shared" si="106"/>
        <v>#DIV/0!</v>
      </c>
      <c r="R108" s="12"/>
      <c r="AN108" s="55"/>
    </row>
    <row r="109" spans="1:77" x14ac:dyDescent="0.5">
      <c r="A109" s="49"/>
      <c r="B109" s="62">
        <v>0.56000000000000005</v>
      </c>
      <c r="C109" s="62" t="e">
        <f t="shared" si="137"/>
        <v>#DIV/0!</v>
      </c>
      <c r="D109" s="62" t="e">
        <f t="shared" si="138"/>
        <v>#DIV/0!</v>
      </c>
      <c r="E109" s="59">
        <f t="shared" si="92"/>
        <v>56.000000000000007</v>
      </c>
      <c r="F109" s="59" t="e">
        <f t="shared" si="93"/>
        <v>#DIV/0!</v>
      </c>
      <c r="G109" s="59" t="e">
        <f t="shared" si="94"/>
        <v>#DIV/0!</v>
      </c>
      <c r="H109" s="62" t="e">
        <f t="shared" si="139"/>
        <v>#DIV/0!</v>
      </c>
      <c r="I109" s="62" t="e">
        <f t="shared" si="140"/>
        <v>#DIV/0!</v>
      </c>
      <c r="J109" s="62" t="e">
        <f t="shared" si="95"/>
        <v>#DIV/0!</v>
      </c>
      <c r="K109" s="62" t="e">
        <f t="shared" si="96"/>
        <v>#DIV/0!</v>
      </c>
      <c r="L109" s="62" t="e">
        <f t="shared" si="97"/>
        <v>#DIV/0!</v>
      </c>
      <c r="M109" s="62" t="e">
        <f t="shared" si="98"/>
        <v>#DIV/0!</v>
      </c>
      <c r="N109" s="62" t="e">
        <f t="shared" si="99"/>
        <v>#DIV/0!</v>
      </c>
      <c r="O109" s="17" t="e">
        <f t="shared" si="106"/>
        <v>#DIV/0!</v>
      </c>
      <c r="Q109" s="59" t="s">
        <v>75</v>
      </c>
      <c r="R109" s="59" t="s">
        <v>76</v>
      </c>
      <c r="S109" s="59" t="s">
        <v>77</v>
      </c>
      <c r="T109" s="59" t="s">
        <v>23</v>
      </c>
      <c r="U109" s="59" t="s">
        <v>7</v>
      </c>
      <c r="V109" s="59" t="s">
        <v>8</v>
      </c>
      <c r="W109" s="59" t="s">
        <v>37</v>
      </c>
      <c r="X109" s="59" t="s">
        <v>117</v>
      </c>
      <c r="AA109" s="59" t="s">
        <v>163</v>
      </c>
      <c r="AN109" s="55"/>
      <c r="AO109" s="17" t="s">
        <v>61</v>
      </c>
      <c r="AP109" s="53" t="s">
        <v>62</v>
      </c>
      <c r="AR109" s="52" t="s">
        <v>110</v>
      </c>
      <c r="BI109" s="53" t="s">
        <v>62</v>
      </c>
    </row>
    <row r="110" spans="1:77" x14ac:dyDescent="0.5">
      <c r="A110" s="49"/>
      <c r="B110" s="62">
        <v>0.55000000000000004</v>
      </c>
      <c r="C110" s="62" t="e">
        <f t="shared" si="137"/>
        <v>#DIV/0!</v>
      </c>
      <c r="D110" s="62" t="e">
        <f t="shared" si="138"/>
        <v>#DIV/0!</v>
      </c>
      <c r="E110" s="59">
        <f t="shared" si="92"/>
        <v>55.000000000000007</v>
      </c>
      <c r="F110" s="59" t="e">
        <f t="shared" si="93"/>
        <v>#DIV/0!</v>
      </c>
      <c r="G110" s="59" t="e">
        <f t="shared" si="94"/>
        <v>#DIV/0!</v>
      </c>
      <c r="H110" s="62" t="e">
        <f t="shared" si="139"/>
        <v>#DIV/0!</v>
      </c>
      <c r="I110" s="62" t="e">
        <f t="shared" si="140"/>
        <v>#DIV/0!</v>
      </c>
      <c r="J110" s="62" t="e">
        <f t="shared" si="95"/>
        <v>#DIV/0!</v>
      </c>
      <c r="K110" s="62" t="e">
        <f t="shared" si="96"/>
        <v>#DIV/0!</v>
      </c>
      <c r="L110" s="62" t="e">
        <f t="shared" si="97"/>
        <v>#DIV/0!</v>
      </c>
      <c r="M110" s="62" t="e">
        <f t="shared" si="98"/>
        <v>#DIV/0!</v>
      </c>
      <c r="N110" s="62" t="e">
        <f t="shared" si="99"/>
        <v>#DIV/0!</v>
      </c>
      <c r="O110" s="17" t="e">
        <f t="shared" si="106"/>
        <v>#DIV/0!</v>
      </c>
      <c r="Q110" s="62">
        <v>1</v>
      </c>
      <c r="R110" s="62" t="e">
        <f t="shared" ref="R110:R141" si="153">U110/$AT$124</f>
        <v>#DIV/0!</v>
      </c>
      <c r="S110" s="62" t="e">
        <f t="shared" ref="S110:S141" si="154">V110/$AT$125</f>
        <v>#DIV/0!</v>
      </c>
      <c r="T110" s="62" t="e">
        <f t="shared" ref="T110:T141" si="155">$AT$119*Q110</f>
        <v>#DIV/0!</v>
      </c>
      <c r="U110" s="62" t="e">
        <f t="shared" ref="U110:U141" si="156">(1/(1+EXP($AT$122-T110/$AT$119)^$AT$121))*((T110-$AT$119)/$AT$120)+(1/(1+EXP(T110/$AT$119-$AT$122)^$AT$121))*((($AT$116-T110)*$AT$118)/(T110+$AT$117))</f>
        <v>#DIV/0!</v>
      </c>
      <c r="V110" s="62" t="e">
        <f t="shared" ref="V110:V141" si="157">T110*U110</f>
        <v>#DIV/0!</v>
      </c>
      <c r="W110" s="59" t="e">
        <f>ROUND(SLOPE(T105:T115,U105:U115),0)</f>
        <v>#DIV/0!</v>
      </c>
      <c r="X110" s="100"/>
      <c r="Y110" s="17" t="s">
        <v>161</v>
      </c>
      <c r="AA110" s="62" t="e">
        <f>((($AT$116-T110)*$AT$118)/(T110+$AT$117))</f>
        <v>#DIV/0!</v>
      </c>
      <c r="AG110" s="82"/>
      <c r="AN110" s="55"/>
      <c r="AP110" s="59" t="s">
        <v>23</v>
      </c>
      <c r="AQ110" s="59"/>
      <c r="AR110" s="63" t="str">
        <f t="shared" ref="AR110:BF110" si="158">IF(AR$16=1,AR9,"")</f>
        <v/>
      </c>
      <c r="AS110" s="63" t="str">
        <f t="shared" si="158"/>
        <v/>
      </c>
      <c r="AT110" s="63" t="str">
        <f t="shared" si="158"/>
        <v/>
      </c>
      <c r="AU110" s="63" t="str">
        <f t="shared" si="158"/>
        <v/>
      </c>
      <c r="AV110" s="63" t="str">
        <f t="shared" si="158"/>
        <v/>
      </c>
      <c r="AW110" s="63" t="str">
        <f t="shared" si="158"/>
        <v/>
      </c>
      <c r="AX110" s="63" t="str">
        <f t="shared" si="158"/>
        <v/>
      </c>
      <c r="AY110" s="63" t="str">
        <f t="shared" si="158"/>
        <v/>
      </c>
      <c r="AZ110" s="63" t="str">
        <f t="shared" si="158"/>
        <v/>
      </c>
      <c r="BA110" s="63" t="str">
        <f t="shared" si="158"/>
        <v/>
      </c>
      <c r="BB110" s="63" t="str">
        <f t="shared" si="158"/>
        <v/>
      </c>
      <c r="BC110" s="63" t="str">
        <f t="shared" si="158"/>
        <v/>
      </c>
      <c r="BD110" s="63" t="str">
        <f t="shared" si="158"/>
        <v/>
      </c>
      <c r="BE110" s="63" t="str">
        <f t="shared" si="158"/>
        <v/>
      </c>
      <c r="BF110" s="63" t="str">
        <f t="shared" si="158"/>
        <v/>
      </c>
      <c r="BI110" s="59" t="s">
        <v>23</v>
      </c>
      <c r="BJ110" s="59"/>
      <c r="BK110" s="63" t="e">
        <f t="shared" ref="BK110:BY112" si="159">IF(AR$16=1,AR9,NA())</f>
        <v>#N/A</v>
      </c>
      <c r="BL110" s="63" t="e">
        <f t="shared" si="159"/>
        <v>#N/A</v>
      </c>
      <c r="BM110" s="63" t="e">
        <f t="shared" si="159"/>
        <v>#N/A</v>
      </c>
      <c r="BN110" s="63" t="e">
        <f t="shared" si="159"/>
        <v>#N/A</v>
      </c>
      <c r="BO110" s="63" t="e">
        <f t="shared" si="159"/>
        <v>#N/A</v>
      </c>
      <c r="BP110" s="63" t="e">
        <f t="shared" si="159"/>
        <v>#N/A</v>
      </c>
      <c r="BQ110" s="63" t="e">
        <f t="shared" si="159"/>
        <v>#N/A</v>
      </c>
      <c r="BR110" s="63" t="e">
        <f t="shared" si="159"/>
        <v>#N/A</v>
      </c>
      <c r="BS110" s="63" t="e">
        <f t="shared" si="159"/>
        <v>#N/A</v>
      </c>
      <c r="BT110" s="63" t="e">
        <f t="shared" si="159"/>
        <v>#N/A</v>
      </c>
      <c r="BU110" s="63" t="e">
        <f t="shared" si="159"/>
        <v>#N/A</v>
      </c>
      <c r="BV110" s="63" t="e">
        <f t="shared" si="159"/>
        <v>#N/A</v>
      </c>
      <c r="BW110" s="63" t="e">
        <f t="shared" si="159"/>
        <v>#N/A</v>
      </c>
      <c r="BX110" s="63" t="e">
        <f t="shared" si="159"/>
        <v>#N/A</v>
      </c>
      <c r="BY110" s="63" t="e">
        <f t="shared" si="159"/>
        <v>#N/A</v>
      </c>
    </row>
    <row r="111" spans="1:77" x14ac:dyDescent="0.5">
      <c r="A111" s="49"/>
      <c r="B111" s="62">
        <v>0.54</v>
      </c>
      <c r="C111" s="62" t="e">
        <f t="shared" si="137"/>
        <v>#DIV/0!</v>
      </c>
      <c r="D111" s="62" t="e">
        <f t="shared" si="138"/>
        <v>#DIV/0!</v>
      </c>
      <c r="E111" s="59">
        <f t="shared" si="92"/>
        <v>54</v>
      </c>
      <c r="F111" s="59" t="e">
        <f t="shared" si="93"/>
        <v>#DIV/0!</v>
      </c>
      <c r="G111" s="59" t="e">
        <f t="shared" si="94"/>
        <v>#DIV/0!</v>
      </c>
      <c r="H111" s="62" t="e">
        <f t="shared" si="139"/>
        <v>#DIV/0!</v>
      </c>
      <c r="I111" s="62" t="e">
        <f t="shared" si="140"/>
        <v>#DIV/0!</v>
      </c>
      <c r="J111" s="62" t="e">
        <f t="shared" si="95"/>
        <v>#DIV/0!</v>
      </c>
      <c r="K111" s="62" t="e">
        <f t="shared" si="96"/>
        <v>#DIV/0!</v>
      </c>
      <c r="L111" s="62" t="e">
        <f t="shared" si="97"/>
        <v>#DIV/0!</v>
      </c>
      <c r="M111" s="62" t="e">
        <f t="shared" si="98"/>
        <v>#DIV/0!</v>
      </c>
      <c r="N111" s="62" t="e">
        <f t="shared" si="99"/>
        <v>#DIV/0!</v>
      </c>
      <c r="O111" s="17" t="e">
        <f t="shared" si="106"/>
        <v>#DIV/0!</v>
      </c>
      <c r="Q111" s="62">
        <v>0.99</v>
      </c>
      <c r="R111" s="62" t="e">
        <f t="shared" si="153"/>
        <v>#DIV/0!</v>
      </c>
      <c r="S111" s="62" t="e">
        <f t="shared" si="154"/>
        <v>#DIV/0!</v>
      </c>
      <c r="T111" s="62" t="e">
        <f t="shared" si="155"/>
        <v>#DIV/0!</v>
      </c>
      <c r="U111" s="62" t="e">
        <f t="shared" si="156"/>
        <v>#DIV/0!</v>
      </c>
      <c r="V111" s="62" t="e">
        <f t="shared" si="157"/>
        <v>#DIV/0!</v>
      </c>
      <c r="W111" s="59" t="e">
        <f t="shared" ref="W111:W147" si="160">ROUND(SLOPE(T106:T116,U106:U116),0)</f>
        <v>#DIV/0!</v>
      </c>
      <c r="X111" s="101" t="e">
        <f t="shared" ref="X111:X142" si="161">ROUND(((W110-W111)/$W$110),4)</f>
        <v>#DIV/0!</v>
      </c>
      <c r="Y111" s="82" t="e">
        <f>MAX(X110:X210)</f>
        <v>#DIV/0!</v>
      </c>
      <c r="AA111" s="62" t="e">
        <f t="shared" ref="AA111:AA152" si="162">((($AT$116-T111)*$AT$118)/(T111+$AT$117))</f>
        <v>#DIV/0!</v>
      </c>
      <c r="AG111" s="82"/>
      <c r="AN111" s="55"/>
      <c r="AP111" s="59" t="s">
        <v>7</v>
      </c>
      <c r="AQ111" s="59"/>
      <c r="AR111" s="63" t="str">
        <f t="shared" ref="AR111:BF111" si="163">IF(AR$16=1,AR10,"")</f>
        <v/>
      </c>
      <c r="AS111" s="63" t="str">
        <f>IF(AS$16=1,AS10,"")</f>
        <v/>
      </c>
      <c r="AT111" s="63" t="str">
        <f t="shared" si="163"/>
        <v/>
      </c>
      <c r="AU111" s="63" t="str">
        <f t="shared" si="163"/>
        <v/>
      </c>
      <c r="AV111" s="63" t="str">
        <f t="shared" si="163"/>
        <v/>
      </c>
      <c r="AW111" s="63" t="str">
        <f t="shared" si="163"/>
        <v/>
      </c>
      <c r="AX111" s="63" t="str">
        <f t="shared" si="163"/>
        <v/>
      </c>
      <c r="AY111" s="63" t="str">
        <f t="shared" si="163"/>
        <v/>
      </c>
      <c r="AZ111" s="63" t="str">
        <f t="shared" si="163"/>
        <v/>
      </c>
      <c r="BA111" s="63" t="str">
        <f t="shared" si="163"/>
        <v/>
      </c>
      <c r="BB111" s="63" t="str">
        <f t="shared" si="163"/>
        <v/>
      </c>
      <c r="BC111" s="63" t="str">
        <f t="shared" si="163"/>
        <v/>
      </c>
      <c r="BD111" s="63" t="str">
        <f t="shared" si="163"/>
        <v/>
      </c>
      <c r="BE111" s="63" t="str">
        <f t="shared" si="163"/>
        <v/>
      </c>
      <c r="BF111" s="63" t="str">
        <f t="shared" si="163"/>
        <v/>
      </c>
      <c r="BI111" s="59" t="s">
        <v>7</v>
      </c>
      <c r="BJ111" s="59"/>
      <c r="BK111" s="63" t="e">
        <f t="shared" si="159"/>
        <v>#N/A</v>
      </c>
      <c r="BL111" s="63" t="e">
        <f t="shared" si="159"/>
        <v>#N/A</v>
      </c>
      <c r="BM111" s="63" t="e">
        <f t="shared" si="159"/>
        <v>#N/A</v>
      </c>
      <c r="BN111" s="63" t="e">
        <f t="shared" si="159"/>
        <v>#N/A</v>
      </c>
      <c r="BO111" s="63" t="e">
        <f t="shared" si="159"/>
        <v>#N/A</v>
      </c>
      <c r="BP111" s="63" t="e">
        <f t="shared" si="159"/>
        <v>#N/A</v>
      </c>
      <c r="BQ111" s="63" t="e">
        <f t="shared" si="159"/>
        <v>#N/A</v>
      </c>
      <c r="BR111" s="63" t="e">
        <f t="shared" si="159"/>
        <v>#N/A</v>
      </c>
      <c r="BS111" s="63" t="e">
        <f t="shared" si="159"/>
        <v>#N/A</v>
      </c>
      <c r="BT111" s="63" t="e">
        <f t="shared" si="159"/>
        <v>#N/A</v>
      </c>
      <c r="BU111" s="63" t="e">
        <f t="shared" si="159"/>
        <v>#N/A</v>
      </c>
      <c r="BV111" s="63" t="e">
        <f t="shared" si="159"/>
        <v>#N/A</v>
      </c>
      <c r="BW111" s="63" t="e">
        <f t="shared" si="159"/>
        <v>#N/A</v>
      </c>
      <c r="BX111" s="63" t="e">
        <f t="shared" si="159"/>
        <v>#N/A</v>
      </c>
      <c r="BY111" s="63" t="e">
        <f t="shared" si="159"/>
        <v>#N/A</v>
      </c>
    </row>
    <row r="112" spans="1:77" x14ac:dyDescent="0.5">
      <c r="A112" s="49"/>
      <c r="B112" s="62">
        <v>0.53</v>
      </c>
      <c r="C112" s="62" t="e">
        <f t="shared" si="137"/>
        <v>#DIV/0!</v>
      </c>
      <c r="D112" s="62" t="e">
        <f t="shared" si="138"/>
        <v>#DIV/0!</v>
      </c>
      <c r="E112" s="59">
        <f t="shared" si="92"/>
        <v>53</v>
      </c>
      <c r="F112" s="59" t="e">
        <f t="shared" si="93"/>
        <v>#DIV/0!</v>
      </c>
      <c r="G112" s="59" t="e">
        <f t="shared" si="94"/>
        <v>#DIV/0!</v>
      </c>
      <c r="H112" s="62" t="e">
        <f t="shared" si="139"/>
        <v>#DIV/0!</v>
      </c>
      <c r="I112" s="62" t="e">
        <f t="shared" si="140"/>
        <v>#DIV/0!</v>
      </c>
      <c r="J112" s="62" t="e">
        <f t="shared" si="95"/>
        <v>#DIV/0!</v>
      </c>
      <c r="K112" s="62" t="e">
        <f t="shared" si="96"/>
        <v>#DIV/0!</v>
      </c>
      <c r="L112" s="62" t="e">
        <f t="shared" si="97"/>
        <v>#DIV/0!</v>
      </c>
      <c r="M112" s="62" t="e">
        <f t="shared" si="98"/>
        <v>#DIV/0!</v>
      </c>
      <c r="N112" s="62" t="e">
        <f t="shared" si="99"/>
        <v>#DIV/0!</v>
      </c>
      <c r="O112" s="17" t="e">
        <f t="shared" si="106"/>
        <v>#DIV/0!</v>
      </c>
      <c r="Q112" s="62">
        <v>0.98</v>
      </c>
      <c r="R112" s="62" t="e">
        <f t="shared" si="153"/>
        <v>#DIV/0!</v>
      </c>
      <c r="S112" s="62" t="e">
        <f t="shared" si="154"/>
        <v>#DIV/0!</v>
      </c>
      <c r="T112" s="62" t="e">
        <f t="shared" si="155"/>
        <v>#DIV/0!</v>
      </c>
      <c r="U112" s="62" t="e">
        <f t="shared" si="156"/>
        <v>#DIV/0!</v>
      </c>
      <c r="V112" s="62" t="e">
        <f t="shared" si="157"/>
        <v>#DIV/0!</v>
      </c>
      <c r="W112" s="59" t="e">
        <f t="shared" si="160"/>
        <v>#DIV/0!</v>
      </c>
      <c r="X112" s="101" t="e">
        <f t="shared" si="161"/>
        <v>#DIV/0!</v>
      </c>
      <c r="Y112" s="17" t="s">
        <v>162</v>
      </c>
      <c r="AA112" s="62" t="e">
        <f t="shared" si="162"/>
        <v>#DIV/0!</v>
      </c>
      <c r="AN112" s="55"/>
      <c r="AP112" s="59" t="s">
        <v>8</v>
      </c>
      <c r="AQ112" s="59"/>
      <c r="AR112" s="63" t="str">
        <f t="shared" ref="AR112:BF112" si="164">IF(AR$16=1,AR11,"")</f>
        <v/>
      </c>
      <c r="AS112" s="63" t="str">
        <f t="shared" si="164"/>
        <v/>
      </c>
      <c r="AT112" s="63" t="str">
        <f t="shared" si="164"/>
        <v/>
      </c>
      <c r="AU112" s="63" t="str">
        <f t="shared" si="164"/>
        <v/>
      </c>
      <c r="AV112" s="63" t="str">
        <f t="shared" si="164"/>
        <v/>
      </c>
      <c r="AW112" s="63" t="str">
        <f t="shared" si="164"/>
        <v/>
      </c>
      <c r="AX112" s="63" t="str">
        <f t="shared" si="164"/>
        <v/>
      </c>
      <c r="AY112" s="63" t="str">
        <f t="shared" si="164"/>
        <v/>
      </c>
      <c r="AZ112" s="63" t="str">
        <f t="shared" si="164"/>
        <v/>
      </c>
      <c r="BA112" s="63" t="str">
        <f t="shared" si="164"/>
        <v/>
      </c>
      <c r="BB112" s="63" t="str">
        <f t="shared" si="164"/>
        <v/>
      </c>
      <c r="BC112" s="63" t="str">
        <f t="shared" si="164"/>
        <v/>
      </c>
      <c r="BD112" s="63" t="str">
        <f t="shared" si="164"/>
        <v/>
      </c>
      <c r="BE112" s="63" t="str">
        <f t="shared" si="164"/>
        <v/>
      </c>
      <c r="BF112" s="63" t="str">
        <f t="shared" si="164"/>
        <v/>
      </c>
      <c r="BI112" s="59" t="s">
        <v>8</v>
      </c>
      <c r="BJ112" s="59"/>
      <c r="BK112" s="63" t="e">
        <f t="shared" si="159"/>
        <v>#N/A</v>
      </c>
      <c r="BL112" s="63" t="e">
        <f t="shared" si="159"/>
        <v>#N/A</v>
      </c>
      <c r="BM112" s="63" t="e">
        <f t="shared" si="159"/>
        <v>#N/A</v>
      </c>
      <c r="BN112" s="63" t="e">
        <f t="shared" si="159"/>
        <v>#N/A</v>
      </c>
      <c r="BO112" s="63" t="e">
        <f t="shared" si="159"/>
        <v>#N/A</v>
      </c>
      <c r="BP112" s="63" t="e">
        <f t="shared" si="159"/>
        <v>#N/A</v>
      </c>
      <c r="BQ112" s="63" t="e">
        <f t="shared" si="159"/>
        <v>#N/A</v>
      </c>
      <c r="BR112" s="63" t="e">
        <f t="shared" si="159"/>
        <v>#N/A</v>
      </c>
      <c r="BS112" s="63" t="e">
        <f t="shared" si="159"/>
        <v>#N/A</v>
      </c>
      <c r="BT112" s="63" t="e">
        <f t="shared" si="159"/>
        <v>#N/A</v>
      </c>
      <c r="BU112" s="63" t="e">
        <f t="shared" si="159"/>
        <v>#N/A</v>
      </c>
      <c r="BV112" s="63" t="e">
        <f t="shared" si="159"/>
        <v>#N/A</v>
      </c>
      <c r="BW112" s="63" t="e">
        <f t="shared" si="159"/>
        <v>#N/A</v>
      </c>
      <c r="BX112" s="63" t="e">
        <f t="shared" si="159"/>
        <v>#N/A</v>
      </c>
      <c r="BY112" s="63" t="e">
        <f t="shared" si="159"/>
        <v>#N/A</v>
      </c>
    </row>
    <row r="113" spans="1:62" x14ac:dyDescent="0.5">
      <c r="A113" s="49"/>
      <c r="B113" s="62">
        <v>0.52</v>
      </c>
      <c r="C113" s="62" t="e">
        <f t="shared" si="137"/>
        <v>#DIV/0!</v>
      </c>
      <c r="D113" s="62" t="e">
        <f t="shared" si="138"/>
        <v>#DIV/0!</v>
      </c>
      <c r="E113" s="59">
        <f t="shared" si="92"/>
        <v>52</v>
      </c>
      <c r="F113" s="59" t="e">
        <f t="shared" si="93"/>
        <v>#DIV/0!</v>
      </c>
      <c r="G113" s="59" t="e">
        <f t="shared" si="94"/>
        <v>#DIV/0!</v>
      </c>
      <c r="H113" s="62" t="e">
        <f t="shared" si="139"/>
        <v>#DIV/0!</v>
      </c>
      <c r="I113" s="62" t="e">
        <f t="shared" si="140"/>
        <v>#DIV/0!</v>
      </c>
      <c r="J113" s="62" t="e">
        <f t="shared" si="95"/>
        <v>#DIV/0!</v>
      </c>
      <c r="K113" s="62" t="e">
        <f t="shared" si="96"/>
        <v>#DIV/0!</v>
      </c>
      <c r="L113" s="62" t="e">
        <f t="shared" si="97"/>
        <v>#DIV/0!</v>
      </c>
      <c r="M113" s="62" t="e">
        <f t="shared" si="98"/>
        <v>#DIV/0!</v>
      </c>
      <c r="N113" s="62" t="e">
        <f t="shared" si="99"/>
        <v>#DIV/0!</v>
      </c>
      <c r="O113" s="17" t="e">
        <f t="shared" si="106"/>
        <v>#DIV/0!</v>
      </c>
      <c r="Q113" s="62">
        <v>0.97</v>
      </c>
      <c r="R113" s="62" t="e">
        <f t="shared" si="153"/>
        <v>#DIV/0!</v>
      </c>
      <c r="S113" s="62" t="e">
        <f t="shared" si="154"/>
        <v>#DIV/0!</v>
      </c>
      <c r="T113" s="62" t="e">
        <f t="shared" si="155"/>
        <v>#DIV/0!</v>
      </c>
      <c r="U113" s="62" t="e">
        <f t="shared" si="156"/>
        <v>#DIV/0!</v>
      </c>
      <c r="V113" s="62" t="e">
        <f t="shared" si="157"/>
        <v>#DIV/0!</v>
      </c>
      <c r="W113" s="59" t="e">
        <f t="shared" si="160"/>
        <v>#DIV/0!</v>
      </c>
      <c r="X113" s="101" t="e">
        <f t="shared" si="161"/>
        <v>#DIV/0!</v>
      </c>
      <c r="Y113" s="82" t="e">
        <f>MIN(X110:X210)</f>
        <v>#DIV/0!</v>
      </c>
      <c r="AA113" s="62" t="e">
        <f t="shared" si="162"/>
        <v>#DIV/0!</v>
      </c>
      <c r="AN113" s="55"/>
    </row>
    <row r="114" spans="1:62" x14ac:dyDescent="0.5">
      <c r="A114" s="49"/>
      <c r="B114" s="62">
        <v>0.51</v>
      </c>
      <c r="C114" s="62" t="e">
        <f t="shared" si="137"/>
        <v>#DIV/0!</v>
      </c>
      <c r="D114" s="62" t="e">
        <f t="shared" si="138"/>
        <v>#DIV/0!</v>
      </c>
      <c r="E114" s="59">
        <f t="shared" si="92"/>
        <v>51</v>
      </c>
      <c r="F114" s="59" t="e">
        <f t="shared" si="93"/>
        <v>#DIV/0!</v>
      </c>
      <c r="G114" s="59" t="e">
        <f t="shared" si="94"/>
        <v>#DIV/0!</v>
      </c>
      <c r="H114" s="62" t="e">
        <f t="shared" si="139"/>
        <v>#DIV/0!</v>
      </c>
      <c r="I114" s="62" t="e">
        <f t="shared" si="140"/>
        <v>#DIV/0!</v>
      </c>
      <c r="J114" s="62" t="e">
        <f t="shared" si="95"/>
        <v>#DIV/0!</v>
      </c>
      <c r="K114" s="62" t="e">
        <f t="shared" si="96"/>
        <v>#DIV/0!</v>
      </c>
      <c r="L114" s="62" t="e">
        <f t="shared" si="97"/>
        <v>#DIV/0!</v>
      </c>
      <c r="M114" s="62" t="e">
        <f t="shared" si="98"/>
        <v>#DIV/0!</v>
      </c>
      <c r="N114" s="62" t="e">
        <f t="shared" si="99"/>
        <v>#DIV/0!</v>
      </c>
      <c r="O114" s="17" t="e">
        <f t="shared" si="106"/>
        <v>#DIV/0!</v>
      </c>
      <c r="Q114" s="62">
        <v>0.96</v>
      </c>
      <c r="R114" s="62" t="e">
        <f t="shared" si="153"/>
        <v>#DIV/0!</v>
      </c>
      <c r="S114" s="62" t="e">
        <f t="shared" si="154"/>
        <v>#DIV/0!</v>
      </c>
      <c r="T114" s="62" t="e">
        <f t="shared" si="155"/>
        <v>#DIV/0!</v>
      </c>
      <c r="U114" s="62" t="e">
        <f t="shared" si="156"/>
        <v>#DIV/0!</v>
      </c>
      <c r="V114" s="62" t="e">
        <f t="shared" si="157"/>
        <v>#DIV/0!</v>
      </c>
      <c r="W114" s="59" t="e">
        <f t="shared" si="160"/>
        <v>#DIV/0!</v>
      </c>
      <c r="X114" s="101" t="e">
        <f t="shared" si="161"/>
        <v>#DIV/0!</v>
      </c>
      <c r="Y114" s="104"/>
      <c r="AA114" s="62" t="e">
        <f t="shared" si="162"/>
        <v>#DIV/0!</v>
      </c>
      <c r="AN114" s="55"/>
      <c r="AP114" s="53" t="s">
        <v>36</v>
      </c>
    </row>
    <row r="115" spans="1:62" x14ac:dyDescent="0.5">
      <c r="A115" s="49"/>
      <c r="B115" s="62">
        <v>0.5</v>
      </c>
      <c r="C115" s="62" t="e">
        <f t="shared" si="137"/>
        <v>#DIV/0!</v>
      </c>
      <c r="D115" s="62" t="e">
        <f t="shared" si="138"/>
        <v>#DIV/0!</v>
      </c>
      <c r="E115" s="59">
        <f t="shared" si="92"/>
        <v>50</v>
      </c>
      <c r="F115" s="59" t="e">
        <f t="shared" si="93"/>
        <v>#DIV/0!</v>
      </c>
      <c r="G115" s="59" t="e">
        <f t="shared" si="94"/>
        <v>#DIV/0!</v>
      </c>
      <c r="H115" s="62" t="e">
        <f t="shared" si="139"/>
        <v>#DIV/0!</v>
      </c>
      <c r="I115" s="62" t="e">
        <f t="shared" si="140"/>
        <v>#DIV/0!</v>
      </c>
      <c r="J115" s="62" t="e">
        <f t="shared" si="95"/>
        <v>#DIV/0!</v>
      </c>
      <c r="K115" s="62" t="e">
        <f t="shared" si="96"/>
        <v>#DIV/0!</v>
      </c>
      <c r="L115" s="62" t="e">
        <f t="shared" si="97"/>
        <v>#DIV/0!</v>
      </c>
      <c r="M115" s="62" t="e">
        <f t="shared" si="98"/>
        <v>#DIV/0!</v>
      </c>
      <c r="N115" s="62" t="e">
        <f t="shared" si="99"/>
        <v>#DIV/0!</v>
      </c>
      <c r="O115" s="17" t="e">
        <f t="shared" si="106"/>
        <v>#DIV/0!</v>
      </c>
      <c r="Q115" s="62">
        <v>0.95</v>
      </c>
      <c r="R115" s="62" t="e">
        <f t="shared" si="153"/>
        <v>#DIV/0!</v>
      </c>
      <c r="S115" s="62" t="e">
        <f t="shared" si="154"/>
        <v>#DIV/0!</v>
      </c>
      <c r="T115" s="62" t="e">
        <f t="shared" si="155"/>
        <v>#DIV/0!</v>
      </c>
      <c r="U115" s="62" t="e">
        <f t="shared" si="156"/>
        <v>#DIV/0!</v>
      </c>
      <c r="V115" s="62" t="e">
        <f t="shared" si="157"/>
        <v>#DIV/0!</v>
      </c>
      <c r="W115" s="59" t="e">
        <f t="shared" si="160"/>
        <v>#DIV/0!</v>
      </c>
      <c r="X115" s="101" t="e">
        <f t="shared" si="161"/>
        <v>#DIV/0!</v>
      </c>
      <c r="Y115" s="104"/>
      <c r="AA115" s="62" t="e">
        <f t="shared" si="162"/>
        <v>#DIV/0!</v>
      </c>
      <c r="AN115" s="55"/>
      <c r="AP115" s="59" t="s">
        <v>17</v>
      </c>
      <c r="AQ115" s="59" t="s">
        <v>71</v>
      </c>
      <c r="AR115" s="63" t="s">
        <v>72</v>
      </c>
      <c r="AS115" s="63" t="s">
        <v>73</v>
      </c>
      <c r="AT115" s="63" t="s">
        <v>74</v>
      </c>
      <c r="AV115" s="63" t="s">
        <v>39</v>
      </c>
      <c r="AW115" s="63" t="e">
        <f>RSQ(AR151:BF151,AR150:BF150)</f>
        <v>#DIV/0!</v>
      </c>
      <c r="AX115" s="63" t="s">
        <v>85</v>
      </c>
      <c r="AY115" s="63" t="e">
        <f>STEYX(AR151:BF151,AR150:BF150)</f>
        <v>#DIV/0!</v>
      </c>
      <c r="AZ115" s="63" t="s">
        <v>80</v>
      </c>
      <c r="BA115" s="83">
        <f>SQRT(SUM(AR152:BF152)/(COUNT(AR152:BF152)-2))</f>
        <v>0</v>
      </c>
      <c r="BB115" s="63" t="s">
        <v>167</v>
      </c>
      <c r="BC115" s="63">
        <f>SQRT(SUM(AR156:BF156)/(COUNT(AR156:BF156)-2))</f>
        <v>0</v>
      </c>
      <c r="BD115" s="63" t="s">
        <v>174</v>
      </c>
      <c r="BE115" s="61">
        <f>SQRT(SUM(AR160:BF160)/(COUNT(AR160:BF160)-2))</f>
        <v>0</v>
      </c>
    </row>
    <row r="116" spans="1:62" x14ac:dyDescent="0.5">
      <c r="A116" s="49"/>
      <c r="B116" s="62">
        <v>0.49</v>
      </c>
      <c r="C116" s="62" t="e">
        <f t="shared" si="137"/>
        <v>#DIV/0!</v>
      </c>
      <c r="D116" s="62" t="e">
        <f t="shared" si="138"/>
        <v>#DIV/0!</v>
      </c>
      <c r="E116" s="59">
        <f t="shared" si="92"/>
        <v>49</v>
      </c>
      <c r="F116" s="59" t="e">
        <f t="shared" si="93"/>
        <v>#DIV/0!</v>
      </c>
      <c r="G116" s="59" t="e">
        <f t="shared" si="94"/>
        <v>#DIV/0!</v>
      </c>
      <c r="H116" s="62" t="e">
        <f t="shared" si="139"/>
        <v>#DIV/0!</v>
      </c>
      <c r="I116" s="62" t="e">
        <f t="shared" si="140"/>
        <v>#DIV/0!</v>
      </c>
      <c r="J116" s="62" t="e">
        <f t="shared" si="95"/>
        <v>#DIV/0!</v>
      </c>
      <c r="K116" s="62" t="e">
        <f t="shared" si="96"/>
        <v>#DIV/0!</v>
      </c>
      <c r="L116" s="62" t="e">
        <f t="shared" si="97"/>
        <v>#DIV/0!</v>
      </c>
      <c r="M116" s="62" t="e">
        <f t="shared" si="98"/>
        <v>#DIV/0!</v>
      </c>
      <c r="N116" s="62" t="e">
        <f t="shared" si="99"/>
        <v>#DIV/0!</v>
      </c>
      <c r="O116" s="17" t="e">
        <f t="shared" si="106"/>
        <v>#DIV/0!</v>
      </c>
      <c r="Q116" s="62">
        <v>0.94</v>
      </c>
      <c r="R116" s="62" t="e">
        <f t="shared" si="153"/>
        <v>#DIV/0!</v>
      </c>
      <c r="S116" s="62" t="e">
        <f t="shared" si="154"/>
        <v>#DIV/0!</v>
      </c>
      <c r="T116" s="62" t="e">
        <f t="shared" si="155"/>
        <v>#DIV/0!</v>
      </c>
      <c r="U116" s="62" t="e">
        <f t="shared" si="156"/>
        <v>#DIV/0!</v>
      </c>
      <c r="V116" s="62" t="e">
        <f t="shared" si="157"/>
        <v>#DIV/0!</v>
      </c>
      <c r="W116" s="59" t="e">
        <f t="shared" si="160"/>
        <v>#DIV/0!</v>
      </c>
      <c r="X116" s="101" t="e">
        <f t="shared" si="161"/>
        <v>#DIV/0!</v>
      </c>
      <c r="Y116" s="104"/>
      <c r="AA116" s="62" t="e">
        <f t="shared" si="162"/>
        <v>#DIV/0!</v>
      </c>
      <c r="AN116" s="55"/>
      <c r="AP116" s="59" t="s">
        <v>70</v>
      </c>
      <c r="AQ116" s="84" t="e">
        <f>AT119</f>
        <v>#DIV/0!</v>
      </c>
      <c r="AR116" s="84" t="e">
        <f>AT119*1.6</f>
        <v>#DIV/0!</v>
      </c>
      <c r="AS116" s="83" t="e">
        <f>constep3*1.2</f>
        <v>#DIV/0!</v>
      </c>
      <c r="AT116" s="117" t="e">
        <f t="shared" ref="AT116:AT122" si="165">startval4</f>
        <v>#DIV/0!</v>
      </c>
      <c r="AU116" s="85"/>
      <c r="BD116" s="63" t="s">
        <v>175</v>
      </c>
      <c r="BE116" s="63">
        <f>BE115/100</f>
        <v>0</v>
      </c>
      <c r="BJ116" s="52"/>
    </row>
    <row r="117" spans="1:62" x14ac:dyDescent="0.5">
      <c r="A117" s="49"/>
      <c r="B117" s="62">
        <v>0.48</v>
      </c>
      <c r="C117" s="62" t="e">
        <f t="shared" si="137"/>
        <v>#DIV/0!</v>
      </c>
      <c r="D117" s="62" t="e">
        <f t="shared" si="138"/>
        <v>#DIV/0!</v>
      </c>
      <c r="E117" s="59">
        <f t="shared" si="92"/>
        <v>48</v>
      </c>
      <c r="F117" s="59" t="e">
        <f t="shared" si="93"/>
        <v>#DIV/0!</v>
      </c>
      <c r="G117" s="59" t="e">
        <f t="shared" si="94"/>
        <v>#DIV/0!</v>
      </c>
      <c r="H117" s="62" t="e">
        <f t="shared" si="139"/>
        <v>#DIV/0!</v>
      </c>
      <c r="I117" s="62" t="e">
        <f t="shared" si="140"/>
        <v>#DIV/0!</v>
      </c>
      <c r="J117" s="62" t="e">
        <f t="shared" si="95"/>
        <v>#DIV/0!</v>
      </c>
      <c r="K117" s="62" t="e">
        <f t="shared" si="96"/>
        <v>#DIV/0!</v>
      </c>
      <c r="L117" s="62" t="e">
        <f t="shared" si="97"/>
        <v>#DIV/0!</v>
      </c>
      <c r="M117" s="62" t="e">
        <f t="shared" si="98"/>
        <v>#DIV/0!</v>
      </c>
      <c r="N117" s="62" t="e">
        <f t="shared" si="99"/>
        <v>#DIV/0!</v>
      </c>
      <c r="O117" s="17" t="e">
        <f t="shared" si="106"/>
        <v>#DIV/0!</v>
      </c>
      <c r="Q117" s="62">
        <v>0.93</v>
      </c>
      <c r="R117" s="62" t="e">
        <f t="shared" si="153"/>
        <v>#DIV/0!</v>
      </c>
      <c r="S117" s="62" t="e">
        <f t="shared" si="154"/>
        <v>#DIV/0!</v>
      </c>
      <c r="T117" s="62" t="e">
        <f t="shared" si="155"/>
        <v>#DIV/0!</v>
      </c>
      <c r="U117" s="62" t="e">
        <f t="shared" si="156"/>
        <v>#DIV/0!</v>
      </c>
      <c r="V117" s="62" t="e">
        <f t="shared" si="157"/>
        <v>#DIV/0!</v>
      </c>
      <c r="W117" s="59" t="e">
        <f t="shared" si="160"/>
        <v>#DIV/0!</v>
      </c>
      <c r="X117" s="101" t="e">
        <f t="shared" si="161"/>
        <v>#DIV/0!</v>
      </c>
      <c r="Y117" s="104"/>
      <c r="AA117" s="62" t="e">
        <f t="shared" si="162"/>
        <v>#DIV/0!</v>
      </c>
      <c r="AN117" s="55"/>
      <c r="AP117" s="59" t="s">
        <v>63</v>
      </c>
      <c r="AQ117" s="84">
        <v>0</v>
      </c>
      <c r="AR117" s="84" t="e">
        <f>AT116*5</f>
        <v>#DIV/0!</v>
      </c>
      <c r="AS117" s="83" t="e">
        <f>AT116*3.5</f>
        <v>#DIV/0!</v>
      </c>
      <c r="AT117" s="117" t="e">
        <f t="shared" si="165"/>
        <v>#DIV/0!</v>
      </c>
      <c r="AV117" s="63" t="s">
        <v>169</v>
      </c>
      <c r="AW117" s="63" t="s">
        <v>159</v>
      </c>
      <c r="AX117" s="63" t="s">
        <v>170</v>
      </c>
      <c r="AZ117" s="63" t="s">
        <v>171</v>
      </c>
      <c r="BA117" s="86">
        <f>(SEE_4*AW118)+(BC115*AX118)+BE116</f>
        <v>0</v>
      </c>
      <c r="BI117" s="52"/>
      <c r="BJ117" s="52"/>
    </row>
    <row r="118" spans="1:62" x14ac:dyDescent="0.5">
      <c r="A118" s="49"/>
      <c r="B118" s="62">
        <v>0.47</v>
      </c>
      <c r="C118" s="62" t="e">
        <f t="shared" si="137"/>
        <v>#DIV/0!</v>
      </c>
      <c r="D118" s="62" t="e">
        <f t="shared" si="138"/>
        <v>#DIV/0!</v>
      </c>
      <c r="E118" s="59">
        <f t="shared" si="92"/>
        <v>47</v>
      </c>
      <c r="F118" s="59" t="e">
        <f t="shared" si="93"/>
        <v>#DIV/0!</v>
      </c>
      <c r="G118" s="59" t="e">
        <f t="shared" si="94"/>
        <v>#DIV/0!</v>
      </c>
      <c r="H118" s="62" t="e">
        <f t="shared" si="139"/>
        <v>#DIV/0!</v>
      </c>
      <c r="I118" s="62" t="e">
        <f t="shared" si="140"/>
        <v>#DIV/0!</v>
      </c>
      <c r="J118" s="62" t="e">
        <f t="shared" si="95"/>
        <v>#DIV/0!</v>
      </c>
      <c r="K118" s="62" t="e">
        <f t="shared" si="96"/>
        <v>#DIV/0!</v>
      </c>
      <c r="L118" s="62" t="e">
        <f t="shared" si="97"/>
        <v>#DIV/0!</v>
      </c>
      <c r="M118" s="62" t="e">
        <f t="shared" si="98"/>
        <v>#DIV/0!</v>
      </c>
      <c r="N118" s="62" t="e">
        <f t="shared" si="99"/>
        <v>#DIV/0!</v>
      </c>
      <c r="O118" s="17" t="e">
        <f t="shared" si="106"/>
        <v>#DIV/0!</v>
      </c>
      <c r="Q118" s="62">
        <v>0.92</v>
      </c>
      <c r="R118" s="62" t="e">
        <f t="shared" si="153"/>
        <v>#DIV/0!</v>
      </c>
      <c r="S118" s="62" t="e">
        <f t="shared" si="154"/>
        <v>#DIV/0!</v>
      </c>
      <c r="T118" s="62" t="e">
        <f t="shared" si="155"/>
        <v>#DIV/0!</v>
      </c>
      <c r="U118" s="62" t="e">
        <f t="shared" si="156"/>
        <v>#DIV/0!</v>
      </c>
      <c r="V118" s="62" t="e">
        <f t="shared" si="157"/>
        <v>#DIV/0!</v>
      </c>
      <c r="W118" s="59" t="e">
        <f t="shared" si="160"/>
        <v>#DIV/0!</v>
      </c>
      <c r="X118" s="101" t="e">
        <f t="shared" si="161"/>
        <v>#DIV/0!</v>
      </c>
      <c r="Y118" s="104"/>
      <c r="AA118" s="62" t="e">
        <f t="shared" si="162"/>
        <v>#DIV/0!</v>
      </c>
      <c r="AN118" s="55"/>
      <c r="AP118" s="59" t="s">
        <v>64</v>
      </c>
      <c r="AQ118" s="84">
        <v>0</v>
      </c>
      <c r="AR118" s="84" t="e">
        <f>(-constep3/slopestep3)*7</f>
        <v>#DIV/0!</v>
      </c>
      <c r="AS118" s="83" t="e">
        <f>(-constep3/slopestep3)*3.5</f>
        <v>#DIV/0!</v>
      </c>
      <c r="AT118" s="117" t="e">
        <f t="shared" si="165"/>
        <v>#DIV/0!</v>
      </c>
      <c r="AW118" s="63">
        <v>0.55000000000000004</v>
      </c>
      <c r="AX118" s="63">
        <f>1-AW118</f>
        <v>0.44999999999999996</v>
      </c>
      <c r="BI118" s="52"/>
    </row>
    <row r="119" spans="1:62" x14ac:dyDescent="0.5">
      <c r="A119" s="49"/>
      <c r="B119" s="62">
        <v>0.46</v>
      </c>
      <c r="C119" s="62" t="e">
        <f t="shared" si="137"/>
        <v>#DIV/0!</v>
      </c>
      <c r="D119" s="62" t="e">
        <f t="shared" si="138"/>
        <v>#DIV/0!</v>
      </c>
      <c r="E119" s="59">
        <f t="shared" si="92"/>
        <v>46</v>
      </c>
      <c r="F119" s="59" t="e">
        <f t="shared" si="93"/>
        <v>#DIV/0!</v>
      </c>
      <c r="G119" s="59" t="e">
        <f t="shared" si="94"/>
        <v>#DIV/0!</v>
      </c>
      <c r="H119" s="62" t="e">
        <f t="shared" si="139"/>
        <v>#DIV/0!</v>
      </c>
      <c r="I119" s="62" t="e">
        <f t="shared" si="140"/>
        <v>#DIV/0!</v>
      </c>
      <c r="J119" s="62" t="e">
        <f t="shared" si="95"/>
        <v>#DIV/0!</v>
      </c>
      <c r="K119" s="62" t="e">
        <f t="shared" si="96"/>
        <v>#DIV/0!</v>
      </c>
      <c r="L119" s="62" t="e">
        <f t="shared" si="97"/>
        <v>#DIV/0!</v>
      </c>
      <c r="M119" s="62" t="e">
        <f t="shared" si="98"/>
        <v>#DIV/0!</v>
      </c>
      <c r="N119" s="62" t="e">
        <f t="shared" si="99"/>
        <v>#DIV/0!</v>
      </c>
      <c r="O119" s="17" t="e">
        <f t="shared" si="106"/>
        <v>#DIV/0!</v>
      </c>
      <c r="Q119" s="62">
        <v>0.91</v>
      </c>
      <c r="R119" s="62" t="e">
        <f t="shared" si="153"/>
        <v>#DIV/0!</v>
      </c>
      <c r="S119" s="62" t="e">
        <f t="shared" si="154"/>
        <v>#DIV/0!</v>
      </c>
      <c r="T119" s="62" t="e">
        <f t="shared" si="155"/>
        <v>#DIV/0!</v>
      </c>
      <c r="U119" s="62" t="e">
        <f t="shared" si="156"/>
        <v>#DIV/0!</v>
      </c>
      <c r="V119" s="62" t="e">
        <f t="shared" si="157"/>
        <v>#DIV/0!</v>
      </c>
      <c r="W119" s="59" t="e">
        <f t="shared" si="160"/>
        <v>#DIV/0!</v>
      </c>
      <c r="X119" s="101" t="e">
        <f t="shared" si="161"/>
        <v>#DIV/0!</v>
      </c>
      <c r="Y119" s="104"/>
      <c r="AA119" s="62" t="e">
        <f t="shared" si="162"/>
        <v>#DIV/0!</v>
      </c>
      <c r="AN119" s="55"/>
      <c r="AP119" s="59" t="s">
        <v>2</v>
      </c>
      <c r="AQ119" s="84" t="e">
        <f>constep3*0.9</f>
        <v>#DIV/0!</v>
      </c>
      <c r="AR119" s="84" t="e">
        <f>constep3*1.1</f>
        <v>#DIV/0!</v>
      </c>
      <c r="AS119" s="83" t="e">
        <f>constep3</f>
        <v>#DIV/0!</v>
      </c>
      <c r="AT119" s="117" t="e">
        <f t="shared" si="165"/>
        <v>#DIV/0!</v>
      </c>
      <c r="BI119" s="52"/>
    </row>
    <row r="120" spans="1:62" x14ac:dyDescent="0.5">
      <c r="A120" s="49"/>
      <c r="B120" s="62">
        <v>0.45</v>
      </c>
      <c r="C120" s="62" t="e">
        <f t="shared" si="137"/>
        <v>#DIV/0!</v>
      </c>
      <c r="D120" s="62" t="e">
        <f t="shared" si="138"/>
        <v>#DIV/0!</v>
      </c>
      <c r="E120" s="59">
        <f t="shared" si="92"/>
        <v>45</v>
      </c>
      <c r="F120" s="59" t="e">
        <f t="shared" si="93"/>
        <v>#DIV/0!</v>
      </c>
      <c r="G120" s="59" t="e">
        <f t="shared" si="94"/>
        <v>#DIV/0!</v>
      </c>
      <c r="H120" s="62" t="e">
        <f t="shared" si="139"/>
        <v>#DIV/0!</v>
      </c>
      <c r="I120" s="62" t="e">
        <f t="shared" si="140"/>
        <v>#DIV/0!</v>
      </c>
      <c r="J120" s="62" t="e">
        <f t="shared" si="95"/>
        <v>#DIV/0!</v>
      </c>
      <c r="K120" s="62" t="e">
        <f t="shared" si="96"/>
        <v>#DIV/0!</v>
      </c>
      <c r="L120" s="62" t="e">
        <f t="shared" si="97"/>
        <v>#DIV/0!</v>
      </c>
      <c r="M120" s="62" t="e">
        <f t="shared" si="98"/>
        <v>#DIV/0!</v>
      </c>
      <c r="N120" s="62" t="e">
        <f t="shared" si="99"/>
        <v>#DIV/0!</v>
      </c>
      <c r="O120" s="17" t="e">
        <f t="shared" si="106"/>
        <v>#DIV/0!</v>
      </c>
      <c r="Q120" s="62">
        <v>0.9</v>
      </c>
      <c r="R120" s="62" t="e">
        <f t="shared" si="153"/>
        <v>#DIV/0!</v>
      </c>
      <c r="S120" s="62" t="e">
        <f t="shared" si="154"/>
        <v>#DIV/0!</v>
      </c>
      <c r="T120" s="62" t="e">
        <f t="shared" si="155"/>
        <v>#DIV/0!</v>
      </c>
      <c r="U120" s="62" t="e">
        <f t="shared" si="156"/>
        <v>#DIV/0!</v>
      </c>
      <c r="V120" s="62" t="e">
        <f t="shared" si="157"/>
        <v>#DIV/0!</v>
      </c>
      <c r="W120" s="59" t="e">
        <f t="shared" si="160"/>
        <v>#DIV/0!</v>
      </c>
      <c r="X120" s="101" t="e">
        <f t="shared" si="161"/>
        <v>#DIV/0!</v>
      </c>
      <c r="Y120" s="104"/>
      <c r="AA120" s="62" t="e">
        <f t="shared" si="162"/>
        <v>#DIV/0!</v>
      </c>
      <c r="AN120" s="55"/>
      <c r="AP120" s="59" t="s">
        <v>37</v>
      </c>
      <c r="AQ120" s="84" t="e">
        <f>AS120*2</f>
        <v>#DIV/0!</v>
      </c>
      <c r="AR120" s="84">
        <v>0</v>
      </c>
      <c r="AS120" s="83" t="e">
        <f>slopestep3</f>
        <v>#DIV/0!</v>
      </c>
      <c r="AT120" s="117" t="e">
        <f t="shared" si="165"/>
        <v>#DIV/0!</v>
      </c>
      <c r="AV120" s="87" t="s">
        <v>113</v>
      </c>
      <c r="AW120" s="88"/>
      <c r="AX120" s="88"/>
      <c r="AY120" s="88"/>
      <c r="AZ120" s="88"/>
      <c r="BA120" s="88"/>
      <c r="BB120" s="88"/>
      <c r="BC120" s="88"/>
      <c r="BD120" s="88"/>
      <c r="BE120" s="88"/>
      <c r="BF120" s="89"/>
      <c r="BI120" s="52"/>
    </row>
    <row r="121" spans="1:62" x14ac:dyDescent="0.5">
      <c r="A121" s="49"/>
      <c r="B121" s="62">
        <v>0.44</v>
      </c>
      <c r="C121" s="62" t="e">
        <f t="shared" si="137"/>
        <v>#DIV/0!</v>
      </c>
      <c r="D121" s="62" t="e">
        <f t="shared" si="138"/>
        <v>#DIV/0!</v>
      </c>
      <c r="E121" s="59">
        <f t="shared" si="92"/>
        <v>44</v>
      </c>
      <c r="F121" s="59" t="e">
        <f t="shared" si="93"/>
        <v>#DIV/0!</v>
      </c>
      <c r="G121" s="59" t="e">
        <f t="shared" si="94"/>
        <v>#DIV/0!</v>
      </c>
      <c r="H121" s="62" t="e">
        <f t="shared" si="139"/>
        <v>#DIV/0!</v>
      </c>
      <c r="I121" s="62" t="e">
        <f t="shared" si="140"/>
        <v>#DIV/0!</v>
      </c>
      <c r="J121" s="62" t="e">
        <f t="shared" si="95"/>
        <v>#DIV/0!</v>
      </c>
      <c r="K121" s="62" t="e">
        <f t="shared" si="96"/>
        <v>#DIV/0!</v>
      </c>
      <c r="L121" s="62" t="e">
        <f t="shared" si="97"/>
        <v>#DIV/0!</v>
      </c>
      <c r="M121" s="62" t="e">
        <f t="shared" si="98"/>
        <v>#DIV/0!</v>
      </c>
      <c r="N121" s="62" t="e">
        <f t="shared" si="99"/>
        <v>#DIV/0!</v>
      </c>
      <c r="O121" s="17" t="e">
        <f t="shared" si="106"/>
        <v>#DIV/0!</v>
      </c>
      <c r="Q121" s="62">
        <v>0.89</v>
      </c>
      <c r="R121" s="62" t="e">
        <f t="shared" si="153"/>
        <v>#DIV/0!</v>
      </c>
      <c r="S121" s="62" t="e">
        <f t="shared" si="154"/>
        <v>#DIV/0!</v>
      </c>
      <c r="T121" s="62" t="e">
        <f t="shared" si="155"/>
        <v>#DIV/0!</v>
      </c>
      <c r="U121" s="62" t="e">
        <f t="shared" si="156"/>
        <v>#DIV/0!</v>
      </c>
      <c r="V121" s="62" t="e">
        <f t="shared" si="157"/>
        <v>#DIV/0!</v>
      </c>
      <c r="W121" s="59" t="e">
        <f t="shared" si="160"/>
        <v>#DIV/0!</v>
      </c>
      <c r="X121" s="101" t="e">
        <f t="shared" si="161"/>
        <v>#DIV/0!</v>
      </c>
      <c r="Y121" s="104"/>
      <c r="AA121" s="62" t="e">
        <f t="shared" si="162"/>
        <v>#DIV/0!</v>
      </c>
      <c r="AN121" s="55"/>
      <c r="AP121" s="59" t="s">
        <v>65</v>
      </c>
      <c r="AQ121" s="84">
        <v>20</v>
      </c>
      <c r="AR121" s="84">
        <v>20</v>
      </c>
      <c r="AS121" s="83">
        <v>20</v>
      </c>
      <c r="AT121" s="117">
        <f t="shared" si="165"/>
        <v>20</v>
      </c>
      <c r="AV121" s="90"/>
      <c r="AY121" s="52" t="s">
        <v>115</v>
      </c>
      <c r="AZ121" s="52" t="s">
        <v>116</v>
      </c>
      <c r="BF121" s="91"/>
      <c r="BI121" s="52"/>
    </row>
    <row r="122" spans="1:62" x14ac:dyDescent="0.5">
      <c r="A122" s="49"/>
      <c r="B122" s="62">
        <v>0.42999999999999899</v>
      </c>
      <c r="C122" s="62" t="e">
        <f t="shared" si="137"/>
        <v>#DIV/0!</v>
      </c>
      <c r="D122" s="62" t="e">
        <f t="shared" si="138"/>
        <v>#DIV/0!</v>
      </c>
      <c r="E122" s="59">
        <f t="shared" si="92"/>
        <v>42.999999999999901</v>
      </c>
      <c r="F122" s="59" t="e">
        <f t="shared" si="93"/>
        <v>#DIV/0!</v>
      </c>
      <c r="G122" s="59" t="e">
        <f t="shared" si="94"/>
        <v>#DIV/0!</v>
      </c>
      <c r="H122" s="62" t="e">
        <f t="shared" si="139"/>
        <v>#DIV/0!</v>
      </c>
      <c r="I122" s="62" t="e">
        <f t="shared" si="140"/>
        <v>#DIV/0!</v>
      </c>
      <c r="J122" s="62" t="e">
        <f t="shared" si="95"/>
        <v>#DIV/0!</v>
      </c>
      <c r="K122" s="62" t="e">
        <f t="shared" si="96"/>
        <v>#DIV/0!</v>
      </c>
      <c r="L122" s="62" t="e">
        <f t="shared" si="97"/>
        <v>#DIV/0!</v>
      </c>
      <c r="M122" s="62" t="e">
        <f t="shared" si="98"/>
        <v>#DIV/0!</v>
      </c>
      <c r="N122" s="62" t="e">
        <f t="shared" si="99"/>
        <v>#DIV/0!</v>
      </c>
      <c r="O122" s="17" t="e">
        <f t="shared" si="106"/>
        <v>#DIV/0!</v>
      </c>
      <c r="Q122" s="62">
        <v>0.88</v>
      </c>
      <c r="R122" s="62" t="e">
        <f t="shared" si="153"/>
        <v>#DIV/0!</v>
      </c>
      <c r="S122" s="62" t="e">
        <f t="shared" si="154"/>
        <v>#DIV/0!</v>
      </c>
      <c r="T122" s="62" t="e">
        <f t="shared" si="155"/>
        <v>#DIV/0!</v>
      </c>
      <c r="U122" s="62" t="e">
        <f t="shared" si="156"/>
        <v>#DIV/0!</v>
      </c>
      <c r="V122" s="62" t="e">
        <f t="shared" si="157"/>
        <v>#DIV/0!</v>
      </c>
      <c r="W122" s="59" t="e">
        <f t="shared" si="160"/>
        <v>#DIV/0!</v>
      </c>
      <c r="X122" s="101" t="e">
        <f t="shared" si="161"/>
        <v>#DIV/0!</v>
      </c>
      <c r="Y122" s="104"/>
      <c r="AA122" s="62" t="e">
        <f t="shared" si="162"/>
        <v>#DIV/0!</v>
      </c>
      <c r="AN122" s="55"/>
      <c r="AP122" s="59" t="s">
        <v>66</v>
      </c>
      <c r="AQ122" s="84">
        <v>0.3</v>
      </c>
      <c r="AR122" s="84">
        <v>0.55000000000000004</v>
      </c>
      <c r="AS122" s="83">
        <v>0.45</v>
      </c>
      <c r="AT122" s="117">
        <f t="shared" si="165"/>
        <v>0.45</v>
      </c>
      <c r="AV122" s="90" t="s">
        <v>114</v>
      </c>
      <c r="AY122" s="92">
        <v>0.01</v>
      </c>
      <c r="AZ122" s="93" t="e">
        <f>IF(MIN(X111:X210)&lt;-AY122,0,1)</f>
        <v>#DIV/0!</v>
      </c>
      <c r="BA122" s="52" t="s">
        <v>110</v>
      </c>
      <c r="BC122" s="52" t="s">
        <v>176</v>
      </c>
      <c r="BF122" s="91"/>
      <c r="BI122" s="52"/>
    </row>
    <row r="123" spans="1:62" x14ac:dyDescent="0.5">
      <c r="A123" s="49"/>
      <c r="B123" s="62">
        <v>0.41999999999999899</v>
      </c>
      <c r="C123" s="62" t="e">
        <f t="shared" si="137"/>
        <v>#DIV/0!</v>
      </c>
      <c r="D123" s="62" t="e">
        <f t="shared" si="138"/>
        <v>#DIV/0!</v>
      </c>
      <c r="E123" s="59">
        <f t="shared" si="92"/>
        <v>41.999999999999901</v>
      </c>
      <c r="F123" s="59" t="e">
        <f t="shared" si="93"/>
        <v>#DIV/0!</v>
      </c>
      <c r="G123" s="59" t="e">
        <f t="shared" si="94"/>
        <v>#DIV/0!</v>
      </c>
      <c r="H123" s="62" t="e">
        <f t="shared" si="139"/>
        <v>#DIV/0!</v>
      </c>
      <c r="I123" s="62" t="e">
        <f t="shared" si="140"/>
        <v>#DIV/0!</v>
      </c>
      <c r="J123" s="62" t="e">
        <f t="shared" si="95"/>
        <v>#DIV/0!</v>
      </c>
      <c r="K123" s="62" t="e">
        <f t="shared" si="96"/>
        <v>#DIV/0!</v>
      </c>
      <c r="L123" s="62" t="e">
        <f t="shared" si="97"/>
        <v>#DIV/0!</v>
      </c>
      <c r="M123" s="62" t="e">
        <f t="shared" si="98"/>
        <v>#DIV/0!</v>
      </c>
      <c r="N123" s="62" t="e">
        <f t="shared" si="99"/>
        <v>#DIV/0!</v>
      </c>
      <c r="O123" s="17" t="e">
        <f t="shared" si="106"/>
        <v>#DIV/0!</v>
      </c>
      <c r="Q123" s="62">
        <v>0.87</v>
      </c>
      <c r="R123" s="62" t="e">
        <f t="shared" si="153"/>
        <v>#DIV/0!</v>
      </c>
      <c r="S123" s="62" t="e">
        <f t="shared" si="154"/>
        <v>#DIV/0!</v>
      </c>
      <c r="T123" s="62" t="e">
        <f t="shared" si="155"/>
        <v>#DIV/0!</v>
      </c>
      <c r="U123" s="62" t="e">
        <f t="shared" si="156"/>
        <v>#DIV/0!</v>
      </c>
      <c r="V123" s="62" t="e">
        <f t="shared" si="157"/>
        <v>#DIV/0!</v>
      </c>
      <c r="W123" s="59" t="e">
        <f t="shared" si="160"/>
        <v>#DIV/0!</v>
      </c>
      <c r="X123" s="101" t="e">
        <f t="shared" si="161"/>
        <v>#DIV/0!</v>
      </c>
      <c r="Y123" s="104"/>
      <c r="AA123" s="62" t="e">
        <f t="shared" si="162"/>
        <v>#DIV/0!</v>
      </c>
      <c r="AN123" s="55"/>
      <c r="AV123" s="90"/>
      <c r="BF123" s="91"/>
      <c r="BI123" s="52"/>
    </row>
    <row r="124" spans="1:62" x14ac:dyDescent="0.5">
      <c r="A124" s="49"/>
      <c r="B124" s="62">
        <v>0.40999999999999898</v>
      </c>
      <c r="C124" s="62" t="e">
        <f t="shared" si="137"/>
        <v>#DIV/0!</v>
      </c>
      <c r="D124" s="62" t="e">
        <f t="shared" si="138"/>
        <v>#DIV/0!</v>
      </c>
      <c r="E124" s="59">
        <f t="shared" si="92"/>
        <v>40.999999999999901</v>
      </c>
      <c r="F124" s="59" t="e">
        <f t="shared" si="93"/>
        <v>#DIV/0!</v>
      </c>
      <c r="G124" s="59" t="e">
        <f t="shared" si="94"/>
        <v>#DIV/0!</v>
      </c>
      <c r="H124" s="62" t="e">
        <f t="shared" si="139"/>
        <v>#DIV/0!</v>
      </c>
      <c r="I124" s="62" t="e">
        <f t="shared" si="140"/>
        <v>#DIV/0!</v>
      </c>
      <c r="J124" s="62" t="e">
        <f t="shared" si="95"/>
        <v>#DIV/0!</v>
      </c>
      <c r="K124" s="62" t="e">
        <f t="shared" si="96"/>
        <v>#DIV/0!</v>
      </c>
      <c r="L124" s="62" t="e">
        <f t="shared" si="97"/>
        <v>#DIV/0!</v>
      </c>
      <c r="M124" s="62" t="e">
        <f t="shared" si="98"/>
        <v>#DIV/0!</v>
      </c>
      <c r="N124" s="62" t="e">
        <f t="shared" si="99"/>
        <v>#DIV/0!</v>
      </c>
      <c r="O124" s="17" t="e">
        <f t="shared" si="106"/>
        <v>#DIV/0!</v>
      </c>
      <c r="Q124" s="62">
        <v>0.86</v>
      </c>
      <c r="R124" s="62" t="e">
        <f t="shared" si="153"/>
        <v>#DIV/0!</v>
      </c>
      <c r="S124" s="62" t="e">
        <f t="shared" si="154"/>
        <v>#DIV/0!</v>
      </c>
      <c r="T124" s="62" t="e">
        <f t="shared" si="155"/>
        <v>#DIV/0!</v>
      </c>
      <c r="U124" s="62" t="e">
        <f t="shared" si="156"/>
        <v>#DIV/0!</v>
      </c>
      <c r="V124" s="62" t="e">
        <f t="shared" si="157"/>
        <v>#DIV/0!</v>
      </c>
      <c r="W124" s="59" t="e">
        <f t="shared" si="160"/>
        <v>#DIV/0!</v>
      </c>
      <c r="X124" s="101" t="e">
        <f t="shared" si="161"/>
        <v>#DIV/0!</v>
      </c>
      <c r="Y124" s="104"/>
      <c r="AA124" s="62" t="e">
        <f t="shared" si="162"/>
        <v>#DIV/0!</v>
      </c>
      <c r="AN124" s="55"/>
      <c r="AP124" s="59" t="s">
        <v>67</v>
      </c>
      <c r="AT124" s="63" t="e">
        <f>U210</f>
        <v>#DIV/0!</v>
      </c>
      <c r="AV124" s="94"/>
      <c r="AW124" s="95"/>
      <c r="AX124" s="95"/>
      <c r="AY124" s="95"/>
      <c r="AZ124" s="95"/>
      <c r="BA124" s="95"/>
      <c r="BB124" s="95"/>
      <c r="BC124" s="95"/>
      <c r="BD124" s="95"/>
      <c r="BE124" s="95"/>
      <c r="BF124" s="96"/>
    </row>
    <row r="125" spans="1:62" x14ac:dyDescent="0.5">
      <c r="A125" s="49"/>
      <c r="B125" s="62">
        <v>0.39999999999999902</v>
      </c>
      <c r="C125" s="62" t="e">
        <f t="shared" si="137"/>
        <v>#DIV/0!</v>
      </c>
      <c r="D125" s="62" t="e">
        <f t="shared" si="138"/>
        <v>#DIV/0!</v>
      </c>
      <c r="E125" s="59">
        <f t="shared" si="92"/>
        <v>39.999999999999901</v>
      </c>
      <c r="F125" s="59" t="e">
        <f t="shared" si="93"/>
        <v>#DIV/0!</v>
      </c>
      <c r="G125" s="59" t="e">
        <f t="shared" si="94"/>
        <v>#DIV/0!</v>
      </c>
      <c r="H125" s="62" t="e">
        <f t="shared" si="139"/>
        <v>#DIV/0!</v>
      </c>
      <c r="I125" s="62" t="e">
        <f t="shared" si="140"/>
        <v>#DIV/0!</v>
      </c>
      <c r="J125" s="62" t="e">
        <f t="shared" si="95"/>
        <v>#DIV/0!</v>
      </c>
      <c r="K125" s="62" t="e">
        <f t="shared" si="96"/>
        <v>#DIV/0!</v>
      </c>
      <c r="L125" s="62" t="e">
        <f t="shared" si="97"/>
        <v>#DIV/0!</v>
      </c>
      <c r="M125" s="62" t="e">
        <f t="shared" si="98"/>
        <v>#DIV/0!</v>
      </c>
      <c r="N125" s="62" t="e">
        <f t="shared" si="99"/>
        <v>#DIV/0!</v>
      </c>
      <c r="O125" s="17" t="e">
        <f t="shared" si="106"/>
        <v>#DIV/0!</v>
      </c>
      <c r="Q125" s="62">
        <v>0.85</v>
      </c>
      <c r="R125" s="62" t="e">
        <f t="shared" si="153"/>
        <v>#DIV/0!</v>
      </c>
      <c r="S125" s="62" t="e">
        <f t="shared" si="154"/>
        <v>#DIV/0!</v>
      </c>
      <c r="T125" s="62" t="e">
        <f t="shared" si="155"/>
        <v>#DIV/0!</v>
      </c>
      <c r="U125" s="62" t="e">
        <f t="shared" si="156"/>
        <v>#DIV/0!</v>
      </c>
      <c r="V125" s="62" t="e">
        <f t="shared" si="157"/>
        <v>#DIV/0!</v>
      </c>
      <c r="W125" s="59" t="e">
        <f t="shared" si="160"/>
        <v>#DIV/0!</v>
      </c>
      <c r="X125" s="101" t="e">
        <f t="shared" si="161"/>
        <v>#DIV/0!</v>
      </c>
      <c r="Y125" s="104"/>
      <c r="AA125" s="62" t="e">
        <f t="shared" si="162"/>
        <v>#DIV/0!</v>
      </c>
      <c r="AN125" s="55"/>
      <c r="AP125" s="59" t="s">
        <v>1</v>
      </c>
      <c r="AT125" s="63" t="e">
        <f>MAX(V110:V210)</f>
        <v>#DIV/0!</v>
      </c>
      <c r="AV125" s="90" t="s">
        <v>166</v>
      </c>
      <c r="BA125" s="52" t="s">
        <v>110</v>
      </c>
      <c r="BF125" s="91"/>
    </row>
    <row r="126" spans="1:62" x14ac:dyDescent="0.5">
      <c r="A126" s="49"/>
      <c r="B126" s="62">
        <v>0.38999999999999901</v>
      </c>
      <c r="C126" s="62" t="e">
        <f t="shared" si="137"/>
        <v>#DIV/0!</v>
      </c>
      <c r="D126" s="62" t="e">
        <f t="shared" si="138"/>
        <v>#DIV/0!</v>
      </c>
      <c r="E126" s="59">
        <f t="shared" si="92"/>
        <v>38.999999999999901</v>
      </c>
      <c r="F126" s="59" t="e">
        <f t="shared" si="93"/>
        <v>#DIV/0!</v>
      </c>
      <c r="G126" s="59" t="e">
        <f t="shared" si="94"/>
        <v>#DIV/0!</v>
      </c>
      <c r="H126" s="62" t="e">
        <f t="shared" si="139"/>
        <v>#DIV/0!</v>
      </c>
      <c r="I126" s="62" t="e">
        <f t="shared" si="140"/>
        <v>#DIV/0!</v>
      </c>
      <c r="J126" s="62" t="e">
        <f t="shared" si="95"/>
        <v>#DIV/0!</v>
      </c>
      <c r="K126" s="62" t="e">
        <f t="shared" si="96"/>
        <v>#DIV/0!</v>
      </c>
      <c r="L126" s="62" t="e">
        <f t="shared" si="97"/>
        <v>#DIV/0!</v>
      </c>
      <c r="M126" s="62" t="e">
        <f t="shared" si="98"/>
        <v>#DIV/0!</v>
      </c>
      <c r="N126" s="62" t="e">
        <f t="shared" si="99"/>
        <v>#DIV/0!</v>
      </c>
      <c r="O126" s="17" t="e">
        <f t="shared" si="106"/>
        <v>#DIV/0!</v>
      </c>
      <c r="Q126" s="62">
        <v>0.84</v>
      </c>
      <c r="R126" s="62" t="e">
        <f t="shared" si="153"/>
        <v>#DIV/0!</v>
      </c>
      <c r="S126" s="62" t="e">
        <f t="shared" si="154"/>
        <v>#DIV/0!</v>
      </c>
      <c r="T126" s="62" t="e">
        <f t="shared" si="155"/>
        <v>#DIV/0!</v>
      </c>
      <c r="U126" s="62" t="e">
        <f t="shared" si="156"/>
        <v>#DIV/0!</v>
      </c>
      <c r="V126" s="62" t="e">
        <f t="shared" si="157"/>
        <v>#DIV/0!</v>
      </c>
      <c r="W126" s="59" t="e">
        <f t="shared" si="160"/>
        <v>#DIV/0!</v>
      </c>
      <c r="X126" s="101" t="e">
        <f t="shared" si="161"/>
        <v>#DIV/0!</v>
      </c>
      <c r="Y126" s="104"/>
      <c r="AA126" s="62" t="e">
        <f t="shared" si="162"/>
        <v>#DIV/0!</v>
      </c>
      <c r="AN126" s="55"/>
      <c r="AP126" s="59" t="s">
        <v>9</v>
      </c>
      <c r="AT126" s="63" t="e">
        <f>INDEX(T110:T210,MATCH(AT125,V110:V210,0))</f>
        <v>#DIV/0!</v>
      </c>
      <c r="AV126" s="90">
        <v>0.85</v>
      </c>
      <c r="BC126" s="52" t="s">
        <v>168</v>
      </c>
      <c r="BF126" s="91"/>
    </row>
    <row r="127" spans="1:62" x14ac:dyDescent="0.5">
      <c r="A127" s="49"/>
      <c r="B127" s="62">
        <v>0.37999999999999901</v>
      </c>
      <c r="C127" s="62" t="e">
        <f t="shared" si="137"/>
        <v>#DIV/0!</v>
      </c>
      <c r="D127" s="62" t="e">
        <f t="shared" si="138"/>
        <v>#DIV/0!</v>
      </c>
      <c r="E127" s="59">
        <f t="shared" si="92"/>
        <v>37.999999999999901</v>
      </c>
      <c r="F127" s="59" t="e">
        <f t="shared" si="93"/>
        <v>#DIV/0!</v>
      </c>
      <c r="G127" s="59" t="e">
        <f t="shared" si="94"/>
        <v>#DIV/0!</v>
      </c>
      <c r="H127" s="62" t="e">
        <f t="shared" si="139"/>
        <v>#DIV/0!</v>
      </c>
      <c r="I127" s="62" t="e">
        <f t="shared" si="140"/>
        <v>#DIV/0!</v>
      </c>
      <c r="J127" s="62" t="e">
        <f t="shared" si="95"/>
        <v>#DIV/0!</v>
      </c>
      <c r="K127" s="62" t="e">
        <f t="shared" si="96"/>
        <v>#DIV/0!</v>
      </c>
      <c r="L127" s="62" t="e">
        <f t="shared" si="97"/>
        <v>#DIV/0!</v>
      </c>
      <c r="M127" s="62" t="e">
        <f t="shared" si="98"/>
        <v>#DIV/0!</v>
      </c>
      <c r="N127" s="62" t="e">
        <f t="shared" si="99"/>
        <v>#DIV/0!</v>
      </c>
      <c r="O127" s="17" t="e">
        <f t="shared" si="106"/>
        <v>#DIV/0!</v>
      </c>
      <c r="Q127" s="62">
        <v>0.83</v>
      </c>
      <c r="R127" s="62" t="e">
        <f t="shared" si="153"/>
        <v>#DIV/0!</v>
      </c>
      <c r="S127" s="62" t="e">
        <f t="shared" si="154"/>
        <v>#DIV/0!</v>
      </c>
      <c r="T127" s="62" t="e">
        <f t="shared" si="155"/>
        <v>#DIV/0!</v>
      </c>
      <c r="U127" s="62" t="e">
        <f t="shared" si="156"/>
        <v>#DIV/0!</v>
      </c>
      <c r="V127" s="62" t="e">
        <f t="shared" si="157"/>
        <v>#DIV/0!</v>
      </c>
      <c r="W127" s="59" t="e">
        <f t="shared" si="160"/>
        <v>#DIV/0!</v>
      </c>
      <c r="X127" s="101" t="e">
        <f t="shared" si="161"/>
        <v>#DIV/0!</v>
      </c>
      <c r="Y127" s="104"/>
      <c r="AA127" s="62" t="e">
        <f t="shared" si="162"/>
        <v>#DIV/0!</v>
      </c>
      <c r="AN127" s="55"/>
      <c r="AP127" s="59" t="s">
        <v>10</v>
      </c>
      <c r="AT127" s="63" t="e">
        <f>INDEX(U110:U210,MATCH(AT125,V110:V210,0))</f>
        <v>#DIV/0!</v>
      </c>
      <c r="AV127" s="97"/>
      <c r="AW127" s="98"/>
      <c r="AX127" s="98"/>
      <c r="AY127" s="98"/>
      <c r="AZ127" s="98"/>
      <c r="BA127" s="98"/>
      <c r="BB127" s="98"/>
      <c r="BC127" s="98"/>
      <c r="BD127" s="98"/>
      <c r="BE127" s="98"/>
      <c r="BF127" s="99"/>
    </row>
    <row r="128" spans="1:62" x14ac:dyDescent="0.5">
      <c r="A128" s="49"/>
      <c r="B128" s="62">
        <v>0.369999999999999</v>
      </c>
      <c r="C128" s="62" t="e">
        <f t="shared" si="137"/>
        <v>#DIV/0!</v>
      </c>
      <c r="D128" s="62" t="e">
        <f t="shared" si="138"/>
        <v>#DIV/0!</v>
      </c>
      <c r="E128" s="59">
        <f t="shared" si="92"/>
        <v>36.999999999999901</v>
      </c>
      <c r="F128" s="59" t="e">
        <f t="shared" si="93"/>
        <v>#DIV/0!</v>
      </c>
      <c r="G128" s="59" t="e">
        <f t="shared" si="94"/>
        <v>#DIV/0!</v>
      </c>
      <c r="H128" s="62" t="e">
        <f t="shared" si="139"/>
        <v>#DIV/0!</v>
      </c>
      <c r="I128" s="62" t="e">
        <f t="shared" si="140"/>
        <v>#DIV/0!</v>
      </c>
      <c r="J128" s="62" t="e">
        <f t="shared" si="95"/>
        <v>#DIV/0!</v>
      </c>
      <c r="K128" s="62" t="e">
        <f t="shared" si="96"/>
        <v>#DIV/0!</v>
      </c>
      <c r="L128" s="62" t="e">
        <f t="shared" si="97"/>
        <v>#DIV/0!</v>
      </c>
      <c r="M128" s="62" t="e">
        <f t="shared" si="98"/>
        <v>#DIV/0!</v>
      </c>
      <c r="N128" s="62" t="e">
        <f t="shared" si="99"/>
        <v>#DIV/0!</v>
      </c>
      <c r="O128" s="17" t="e">
        <f t="shared" si="106"/>
        <v>#DIV/0!</v>
      </c>
      <c r="Q128" s="62">
        <v>0.82</v>
      </c>
      <c r="R128" s="62" t="e">
        <f t="shared" si="153"/>
        <v>#DIV/0!</v>
      </c>
      <c r="S128" s="62" t="e">
        <f t="shared" si="154"/>
        <v>#DIV/0!</v>
      </c>
      <c r="T128" s="62" t="e">
        <f t="shared" si="155"/>
        <v>#DIV/0!</v>
      </c>
      <c r="U128" s="62" t="e">
        <f t="shared" si="156"/>
        <v>#DIV/0!</v>
      </c>
      <c r="V128" s="62" t="e">
        <f t="shared" si="157"/>
        <v>#DIV/0!</v>
      </c>
      <c r="W128" s="59" t="e">
        <f t="shared" si="160"/>
        <v>#DIV/0!</v>
      </c>
      <c r="X128" s="101" t="e">
        <f t="shared" si="161"/>
        <v>#DIV/0!</v>
      </c>
      <c r="Y128" s="104"/>
      <c r="AA128" s="62" t="e">
        <f t="shared" si="162"/>
        <v>#DIV/0!</v>
      </c>
      <c r="AN128" s="55"/>
    </row>
    <row r="129" spans="1:77" x14ac:dyDescent="0.5">
      <c r="A129" s="49"/>
      <c r="B129" s="62">
        <v>0.35999999999999899</v>
      </c>
      <c r="C129" s="62" t="e">
        <f t="shared" ref="C129:C152" si="166">I129/$U$66</f>
        <v>#DIV/0!</v>
      </c>
      <c r="D129" s="62" t="e">
        <f t="shared" ref="D129:D152" si="167">L129/$U$67</f>
        <v>#DIV/0!</v>
      </c>
      <c r="E129" s="59">
        <f t="shared" si="92"/>
        <v>35.999999999999901</v>
      </c>
      <c r="F129" s="59" t="e">
        <f t="shared" si="93"/>
        <v>#DIV/0!</v>
      </c>
      <c r="G129" s="59" t="e">
        <f t="shared" si="94"/>
        <v>#DIV/0!</v>
      </c>
      <c r="H129" s="62" t="e">
        <f t="shared" ref="H129:H160" si="168">IF(OR($Z$64=1,$Z$64=2,$Z$64=3),$U$64*B129,IF($Z$64=4,T174,IF($Z$64=5,AI227,NA())))</f>
        <v>#DIV/0!</v>
      </c>
      <c r="I129" s="62" t="e">
        <f t="shared" ref="I129:I160" si="169">IF(OR($Z$64=1,$Z$64=2,$Z$64=3),(H129-$U$64)/$U$65,IF($Z$64=4,U174,IF($Z$64=5,AJ227,NA())))</f>
        <v>#DIV/0!</v>
      </c>
      <c r="J129" s="62" t="e">
        <f t="shared" si="95"/>
        <v>#DIV/0!</v>
      </c>
      <c r="K129" s="62" t="e">
        <f t="shared" si="96"/>
        <v>#DIV/0!</v>
      </c>
      <c r="L129" s="62" t="e">
        <f t="shared" si="97"/>
        <v>#DIV/0!</v>
      </c>
      <c r="M129" s="62" t="e">
        <f t="shared" si="98"/>
        <v>#DIV/0!</v>
      </c>
      <c r="N129" s="62" t="e">
        <f t="shared" si="99"/>
        <v>#DIV/0!</v>
      </c>
      <c r="O129" s="17" t="e">
        <f t="shared" si="106"/>
        <v>#DIV/0!</v>
      </c>
      <c r="Q129" s="62">
        <v>0.81</v>
      </c>
      <c r="R129" s="62" t="e">
        <f t="shared" si="153"/>
        <v>#DIV/0!</v>
      </c>
      <c r="S129" s="62" t="e">
        <f t="shared" si="154"/>
        <v>#DIV/0!</v>
      </c>
      <c r="T129" s="62" t="e">
        <f t="shared" si="155"/>
        <v>#DIV/0!</v>
      </c>
      <c r="U129" s="62" t="e">
        <f t="shared" si="156"/>
        <v>#DIV/0!</v>
      </c>
      <c r="V129" s="62" t="e">
        <f t="shared" si="157"/>
        <v>#DIV/0!</v>
      </c>
      <c r="W129" s="59" t="e">
        <f t="shared" si="160"/>
        <v>#DIV/0!</v>
      </c>
      <c r="X129" s="101" t="e">
        <f t="shared" si="161"/>
        <v>#DIV/0!</v>
      </c>
      <c r="Y129" s="104"/>
      <c r="AA129" s="62" t="e">
        <f t="shared" si="162"/>
        <v>#DIV/0!</v>
      </c>
      <c r="AN129" s="55"/>
    </row>
    <row r="130" spans="1:77" x14ac:dyDescent="0.5">
      <c r="A130" s="49"/>
      <c r="B130" s="62">
        <v>0.34999999999999898</v>
      </c>
      <c r="C130" s="62" t="e">
        <f t="shared" si="166"/>
        <v>#DIV/0!</v>
      </c>
      <c r="D130" s="62" t="e">
        <f t="shared" si="167"/>
        <v>#DIV/0!</v>
      </c>
      <c r="E130" s="59">
        <f t="shared" ref="E130:E152" si="170">B130*100</f>
        <v>34.999999999999901</v>
      </c>
      <c r="F130" s="59" t="e">
        <f t="shared" ref="F130:F152" si="171">C130*100</f>
        <v>#DIV/0!</v>
      </c>
      <c r="G130" s="59" t="e">
        <f t="shared" ref="G130:G152" si="172">D130*100</f>
        <v>#DIV/0!</v>
      </c>
      <c r="H130" s="62" t="e">
        <f t="shared" si="168"/>
        <v>#DIV/0!</v>
      </c>
      <c r="I130" s="62" t="e">
        <f t="shared" si="169"/>
        <v>#DIV/0!</v>
      </c>
      <c r="J130" s="62" t="e">
        <f t="shared" ref="J130:J152" si="173">I130-$AP$4</f>
        <v>#DIV/0!</v>
      </c>
      <c r="K130" s="62" t="e">
        <f t="shared" ref="K130:K152" si="174">I130+$AP$4</f>
        <v>#DIV/0!</v>
      </c>
      <c r="L130" s="62" t="e">
        <f t="shared" ref="L130:L152" si="175">H130*I130</f>
        <v>#DIV/0!</v>
      </c>
      <c r="M130" s="62" t="e">
        <f t="shared" ref="M130:M152" si="176">J130*H130</f>
        <v>#DIV/0!</v>
      </c>
      <c r="N130" s="62" t="e">
        <f t="shared" ref="N130:N152" si="177">K130*H130</f>
        <v>#DIV/0!</v>
      </c>
      <c r="O130" s="17" t="e">
        <f t="shared" si="106"/>
        <v>#DIV/0!</v>
      </c>
      <c r="Q130" s="62">
        <v>0.8</v>
      </c>
      <c r="R130" s="62" t="e">
        <f t="shared" si="153"/>
        <v>#DIV/0!</v>
      </c>
      <c r="S130" s="62" t="e">
        <f t="shared" si="154"/>
        <v>#DIV/0!</v>
      </c>
      <c r="T130" s="62" t="e">
        <f t="shared" si="155"/>
        <v>#DIV/0!</v>
      </c>
      <c r="U130" s="62" t="e">
        <f t="shared" si="156"/>
        <v>#DIV/0!</v>
      </c>
      <c r="V130" s="62" t="e">
        <f t="shared" si="157"/>
        <v>#DIV/0!</v>
      </c>
      <c r="W130" s="59" t="e">
        <f t="shared" si="160"/>
        <v>#DIV/0!</v>
      </c>
      <c r="X130" s="101" t="e">
        <f t="shared" si="161"/>
        <v>#DIV/0!</v>
      </c>
      <c r="Y130" s="104"/>
      <c r="AA130" s="62" t="e">
        <f t="shared" si="162"/>
        <v>#DIV/0!</v>
      </c>
      <c r="AN130" s="55"/>
      <c r="AP130" s="59" t="s">
        <v>68</v>
      </c>
      <c r="AT130" s="63" t="e">
        <f>-AT119/AT120</f>
        <v>#DIV/0!</v>
      </c>
    </row>
    <row r="131" spans="1:77" x14ac:dyDescent="0.5">
      <c r="A131" s="49"/>
      <c r="B131" s="62">
        <v>0.33999999999999903</v>
      </c>
      <c r="C131" s="62" t="e">
        <f t="shared" si="166"/>
        <v>#DIV/0!</v>
      </c>
      <c r="D131" s="62" t="e">
        <f t="shared" si="167"/>
        <v>#DIV/0!</v>
      </c>
      <c r="E131" s="59">
        <f t="shared" si="170"/>
        <v>33.999999999999901</v>
      </c>
      <c r="F131" s="59" t="e">
        <f t="shared" si="171"/>
        <v>#DIV/0!</v>
      </c>
      <c r="G131" s="59" t="e">
        <f t="shared" si="172"/>
        <v>#DIV/0!</v>
      </c>
      <c r="H131" s="62" t="e">
        <f t="shared" si="168"/>
        <v>#DIV/0!</v>
      </c>
      <c r="I131" s="62" t="e">
        <f t="shared" si="169"/>
        <v>#DIV/0!</v>
      </c>
      <c r="J131" s="62" t="e">
        <f t="shared" si="173"/>
        <v>#DIV/0!</v>
      </c>
      <c r="K131" s="62" t="e">
        <f t="shared" si="174"/>
        <v>#DIV/0!</v>
      </c>
      <c r="L131" s="62" t="e">
        <f t="shared" si="175"/>
        <v>#DIV/0!</v>
      </c>
      <c r="M131" s="62" t="e">
        <f t="shared" si="176"/>
        <v>#DIV/0!</v>
      </c>
      <c r="N131" s="62" t="e">
        <f t="shared" si="177"/>
        <v>#DIV/0!</v>
      </c>
      <c r="O131" s="17" t="e">
        <f t="shared" si="106"/>
        <v>#DIV/0!</v>
      </c>
      <c r="Q131" s="62">
        <v>0.79</v>
      </c>
      <c r="R131" s="62" t="e">
        <f t="shared" si="153"/>
        <v>#DIV/0!</v>
      </c>
      <c r="S131" s="62" t="e">
        <f t="shared" si="154"/>
        <v>#DIV/0!</v>
      </c>
      <c r="T131" s="62" t="e">
        <f t="shared" si="155"/>
        <v>#DIV/0!</v>
      </c>
      <c r="U131" s="62" t="e">
        <f t="shared" si="156"/>
        <v>#DIV/0!</v>
      </c>
      <c r="V131" s="62" t="e">
        <f t="shared" si="157"/>
        <v>#DIV/0!</v>
      </c>
      <c r="W131" s="59" t="e">
        <f t="shared" si="160"/>
        <v>#DIV/0!</v>
      </c>
      <c r="X131" s="101" t="e">
        <f t="shared" si="161"/>
        <v>#DIV/0!</v>
      </c>
      <c r="Y131" s="104"/>
      <c r="AA131" s="62" t="e">
        <f t="shared" si="162"/>
        <v>#DIV/0!</v>
      </c>
      <c r="AN131" s="55"/>
      <c r="AP131" s="59" t="s">
        <v>69</v>
      </c>
      <c r="AT131" s="63" t="e">
        <f>AT119*AT130/4</f>
        <v>#DIV/0!</v>
      </c>
    </row>
    <row r="132" spans="1:77" x14ac:dyDescent="0.5">
      <c r="A132" s="49"/>
      <c r="B132" s="62">
        <v>0.32999999999999902</v>
      </c>
      <c r="C132" s="62" t="e">
        <f t="shared" si="166"/>
        <v>#DIV/0!</v>
      </c>
      <c r="D132" s="62" t="e">
        <f t="shared" si="167"/>
        <v>#DIV/0!</v>
      </c>
      <c r="E132" s="59">
        <f t="shared" si="170"/>
        <v>32.999999999999901</v>
      </c>
      <c r="F132" s="59" t="e">
        <f t="shared" si="171"/>
        <v>#DIV/0!</v>
      </c>
      <c r="G132" s="59" t="e">
        <f t="shared" si="172"/>
        <v>#DIV/0!</v>
      </c>
      <c r="H132" s="62" t="e">
        <f t="shared" si="168"/>
        <v>#DIV/0!</v>
      </c>
      <c r="I132" s="62" t="e">
        <f t="shared" si="169"/>
        <v>#DIV/0!</v>
      </c>
      <c r="J132" s="62" t="e">
        <f t="shared" si="173"/>
        <v>#DIV/0!</v>
      </c>
      <c r="K132" s="62" t="e">
        <f t="shared" si="174"/>
        <v>#DIV/0!</v>
      </c>
      <c r="L132" s="62" t="e">
        <f t="shared" si="175"/>
        <v>#DIV/0!</v>
      </c>
      <c r="M132" s="62" t="e">
        <f t="shared" si="176"/>
        <v>#DIV/0!</v>
      </c>
      <c r="N132" s="62" t="e">
        <f t="shared" si="177"/>
        <v>#DIV/0!</v>
      </c>
      <c r="O132" s="17" t="e">
        <f t="shared" si="106"/>
        <v>#DIV/0!</v>
      </c>
      <c r="Q132" s="62">
        <v>0.78</v>
      </c>
      <c r="R132" s="62" t="e">
        <f t="shared" si="153"/>
        <v>#DIV/0!</v>
      </c>
      <c r="S132" s="62" t="e">
        <f t="shared" si="154"/>
        <v>#DIV/0!</v>
      </c>
      <c r="T132" s="62" t="e">
        <f t="shared" si="155"/>
        <v>#DIV/0!</v>
      </c>
      <c r="U132" s="62" t="e">
        <f t="shared" si="156"/>
        <v>#DIV/0!</v>
      </c>
      <c r="V132" s="62" t="e">
        <f t="shared" si="157"/>
        <v>#DIV/0!</v>
      </c>
      <c r="W132" s="59" t="e">
        <f t="shared" si="160"/>
        <v>#DIV/0!</v>
      </c>
      <c r="X132" s="101" t="e">
        <f t="shared" si="161"/>
        <v>#DIV/0!</v>
      </c>
      <c r="Y132" s="104"/>
      <c r="AA132" s="62" t="e">
        <f t="shared" si="162"/>
        <v>#DIV/0!</v>
      </c>
      <c r="AN132" s="55"/>
      <c r="AP132" s="59" t="s">
        <v>78</v>
      </c>
      <c r="AT132" s="63" t="e">
        <f>AT119*0.5</f>
        <v>#DIV/0!</v>
      </c>
    </row>
    <row r="133" spans="1:77" x14ac:dyDescent="0.5">
      <c r="A133" s="49"/>
      <c r="B133" s="62">
        <v>0.31999999999999901</v>
      </c>
      <c r="C133" s="62" t="e">
        <f t="shared" si="166"/>
        <v>#DIV/0!</v>
      </c>
      <c r="D133" s="62" t="e">
        <f t="shared" si="167"/>
        <v>#DIV/0!</v>
      </c>
      <c r="E133" s="59">
        <f t="shared" si="170"/>
        <v>31.999999999999901</v>
      </c>
      <c r="F133" s="59" t="e">
        <f t="shared" si="171"/>
        <v>#DIV/0!</v>
      </c>
      <c r="G133" s="59" t="e">
        <f t="shared" si="172"/>
        <v>#DIV/0!</v>
      </c>
      <c r="H133" s="62" t="e">
        <f t="shared" si="168"/>
        <v>#DIV/0!</v>
      </c>
      <c r="I133" s="62" t="e">
        <f t="shared" si="169"/>
        <v>#DIV/0!</v>
      </c>
      <c r="J133" s="62" t="e">
        <f t="shared" si="173"/>
        <v>#DIV/0!</v>
      </c>
      <c r="K133" s="62" t="e">
        <f t="shared" si="174"/>
        <v>#DIV/0!</v>
      </c>
      <c r="L133" s="62" t="e">
        <f t="shared" si="175"/>
        <v>#DIV/0!</v>
      </c>
      <c r="M133" s="62" t="e">
        <f t="shared" si="176"/>
        <v>#DIV/0!</v>
      </c>
      <c r="N133" s="62" t="e">
        <f t="shared" si="177"/>
        <v>#DIV/0!</v>
      </c>
      <c r="O133" s="17" t="e">
        <f t="shared" si="106"/>
        <v>#DIV/0!</v>
      </c>
      <c r="Q133" s="62">
        <v>0.77</v>
      </c>
      <c r="R133" s="62" t="e">
        <f t="shared" si="153"/>
        <v>#DIV/0!</v>
      </c>
      <c r="S133" s="62" t="e">
        <f t="shared" si="154"/>
        <v>#DIV/0!</v>
      </c>
      <c r="T133" s="62" t="e">
        <f t="shared" si="155"/>
        <v>#DIV/0!</v>
      </c>
      <c r="U133" s="62" t="e">
        <f t="shared" si="156"/>
        <v>#DIV/0!</v>
      </c>
      <c r="V133" s="62" t="e">
        <f t="shared" si="157"/>
        <v>#DIV/0!</v>
      </c>
      <c r="W133" s="59" t="e">
        <f t="shared" si="160"/>
        <v>#DIV/0!</v>
      </c>
      <c r="X133" s="101" t="e">
        <f t="shared" si="161"/>
        <v>#DIV/0!</v>
      </c>
      <c r="Y133" s="104"/>
      <c r="AA133" s="62" t="e">
        <f t="shared" si="162"/>
        <v>#DIV/0!</v>
      </c>
      <c r="AN133" s="55"/>
      <c r="AP133" s="59" t="s">
        <v>79</v>
      </c>
      <c r="AT133" s="63" t="e">
        <f>AT130*0.5</f>
        <v>#DIV/0!</v>
      </c>
    </row>
    <row r="134" spans="1:77" x14ac:dyDescent="0.5">
      <c r="A134" s="49"/>
      <c r="B134" s="62">
        <v>0.309999999999999</v>
      </c>
      <c r="C134" s="62" t="e">
        <f t="shared" si="166"/>
        <v>#DIV/0!</v>
      </c>
      <c r="D134" s="62" t="e">
        <f t="shared" si="167"/>
        <v>#DIV/0!</v>
      </c>
      <c r="E134" s="59">
        <f t="shared" si="170"/>
        <v>30.999999999999901</v>
      </c>
      <c r="F134" s="59" t="e">
        <f t="shared" si="171"/>
        <v>#DIV/0!</v>
      </c>
      <c r="G134" s="59" t="e">
        <f t="shared" si="172"/>
        <v>#DIV/0!</v>
      </c>
      <c r="H134" s="62" t="e">
        <f t="shared" si="168"/>
        <v>#DIV/0!</v>
      </c>
      <c r="I134" s="62" t="e">
        <f t="shared" si="169"/>
        <v>#DIV/0!</v>
      </c>
      <c r="J134" s="62" t="e">
        <f t="shared" si="173"/>
        <v>#DIV/0!</v>
      </c>
      <c r="K134" s="62" t="e">
        <f t="shared" si="174"/>
        <v>#DIV/0!</v>
      </c>
      <c r="L134" s="62" t="e">
        <f t="shared" si="175"/>
        <v>#DIV/0!</v>
      </c>
      <c r="M134" s="62" t="e">
        <f t="shared" si="176"/>
        <v>#DIV/0!</v>
      </c>
      <c r="N134" s="62" t="e">
        <f t="shared" si="177"/>
        <v>#DIV/0!</v>
      </c>
      <c r="O134" s="17" t="e">
        <f t="shared" si="106"/>
        <v>#DIV/0!</v>
      </c>
      <c r="Q134" s="62">
        <v>0.76</v>
      </c>
      <c r="R134" s="62" t="e">
        <f t="shared" si="153"/>
        <v>#DIV/0!</v>
      </c>
      <c r="S134" s="62" t="e">
        <f t="shared" si="154"/>
        <v>#DIV/0!</v>
      </c>
      <c r="T134" s="62" t="e">
        <f t="shared" si="155"/>
        <v>#DIV/0!</v>
      </c>
      <c r="U134" s="62" t="e">
        <f t="shared" si="156"/>
        <v>#DIV/0!</v>
      </c>
      <c r="V134" s="62" t="e">
        <f t="shared" si="157"/>
        <v>#DIV/0!</v>
      </c>
      <c r="W134" s="59" t="e">
        <f t="shared" si="160"/>
        <v>#DIV/0!</v>
      </c>
      <c r="X134" s="101" t="e">
        <f t="shared" si="161"/>
        <v>#DIV/0!</v>
      </c>
      <c r="Y134" s="104"/>
      <c r="AA134" s="62" t="e">
        <f t="shared" si="162"/>
        <v>#DIV/0!</v>
      </c>
      <c r="AN134" s="55"/>
    </row>
    <row r="135" spans="1:77" x14ac:dyDescent="0.5">
      <c r="A135" s="49"/>
      <c r="B135" s="62">
        <v>0.29999999999999899</v>
      </c>
      <c r="C135" s="62" t="e">
        <f t="shared" si="166"/>
        <v>#DIV/0!</v>
      </c>
      <c r="D135" s="62" t="e">
        <f t="shared" si="167"/>
        <v>#DIV/0!</v>
      </c>
      <c r="E135" s="59">
        <f t="shared" si="170"/>
        <v>29.999999999999901</v>
      </c>
      <c r="F135" s="59" t="e">
        <f t="shared" si="171"/>
        <v>#DIV/0!</v>
      </c>
      <c r="G135" s="59" t="e">
        <f t="shared" si="172"/>
        <v>#DIV/0!</v>
      </c>
      <c r="H135" s="62" t="e">
        <f t="shared" si="168"/>
        <v>#DIV/0!</v>
      </c>
      <c r="I135" s="62" t="e">
        <f t="shared" si="169"/>
        <v>#DIV/0!</v>
      </c>
      <c r="J135" s="62" t="e">
        <f t="shared" si="173"/>
        <v>#DIV/0!</v>
      </c>
      <c r="K135" s="62" t="e">
        <f t="shared" si="174"/>
        <v>#DIV/0!</v>
      </c>
      <c r="L135" s="62" t="e">
        <f t="shared" si="175"/>
        <v>#DIV/0!</v>
      </c>
      <c r="M135" s="62" t="e">
        <f t="shared" si="176"/>
        <v>#DIV/0!</v>
      </c>
      <c r="N135" s="62" t="e">
        <f t="shared" si="177"/>
        <v>#DIV/0!</v>
      </c>
      <c r="O135" s="17" t="e">
        <f t="shared" si="106"/>
        <v>#DIV/0!</v>
      </c>
      <c r="Q135" s="62">
        <v>0.75</v>
      </c>
      <c r="R135" s="62" t="e">
        <f t="shared" si="153"/>
        <v>#DIV/0!</v>
      </c>
      <c r="S135" s="62" t="e">
        <f t="shared" si="154"/>
        <v>#DIV/0!</v>
      </c>
      <c r="T135" s="62" t="e">
        <f t="shared" si="155"/>
        <v>#DIV/0!</v>
      </c>
      <c r="U135" s="62" t="e">
        <f t="shared" si="156"/>
        <v>#DIV/0!</v>
      </c>
      <c r="V135" s="62" t="e">
        <f t="shared" si="157"/>
        <v>#DIV/0!</v>
      </c>
      <c r="W135" s="59" t="e">
        <f t="shared" si="160"/>
        <v>#DIV/0!</v>
      </c>
      <c r="X135" s="101" t="e">
        <f t="shared" si="161"/>
        <v>#DIV/0!</v>
      </c>
      <c r="Y135" s="104"/>
      <c r="AA135" s="62" t="e">
        <f t="shared" si="162"/>
        <v>#DIV/0!</v>
      </c>
      <c r="AN135" s="55"/>
      <c r="AP135" s="53" t="s">
        <v>48</v>
      </c>
      <c r="BI135" s="53" t="s">
        <v>48</v>
      </c>
    </row>
    <row r="136" spans="1:77" x14ac:dyDescent="0.5">
      <c r="A136" s="49"/>
      <c r="B136" s="62">
        <v>0.28999999999999898</v>
      </c>
      <c r="C136" s="62" t="e">
        <f t="shared" si="166"/>
        <v>#DIV/0!</v>
      </c>
      <c r="D136" s="62" t="e">
        <f t="shared" si="167"/>
        <v>#DIV/0!</v>
      </c>
      <c r="E136" s="59">
        <f t="shared" si="170"/>
        <v>28.999999999999897</v>
      </c>
      <c r="F136" s="59" t="e">
        <f t="shared" si="171"/>
        <v>#DIV/0!</v>
      </c>
      <c r="G136" s="59" t="e">
        <f t="shared" si="172"/>
        <v>#DIV/0!</v>
      </c>
      <c r="H136" s="62" t="e">
        <f t="shared" si="168"/>
        <v>#DIV/0!</v>
      </c>
      <c r="I136" s="62" t="e">
        <f t="shared" si="169"/>
        <v>#DIV/0!</v>
      </c>
      <c r="J136" s="62" t="e">
        <f t="shared" si="173"/>
        <v>#DIV/0!</v>
      </c>
      <c r="K136" s="62" t="e">
        <f t="shared" si="174"/>
        <v>#DIV/0!</v>
      </c>
      <c r="L136" s="62" t="e">
        <f t="shared" si="175"/>
        <v>#DIV/0!</v>
      </c>
      <c r="M136" s="62" t="e">
        <f t="shared" si="176"/>
        <v>#DIV/0!</v>
      </c>
      <c r="N136" s="62" t="e">
        <f t="shared" si="177"/>
        <v>#DIV/0!</v>
      </c>
      <c r="O136" s="17" t="e">
        <f t="shared" ref="O136:O160" si="178">SLOPE(I131:I141,E131:E141)</f>
        <v>#DIV/0!</v>
      </c>
      <c r="Q136" s="62">
        <v>0.74</v>
      </c>
      <c r="R136" s="62" t="e">
        <f t="shared" si="153"/>
        <v>#DIV/0!</v>
      </c>
      <c r="S136" s="62" t="e">
        <f t="shared" si="154"/>
        <v>#DIV/0!</v>
      </c>
      <c r="T136" s="62" t="e">
        <f t="shared" si="155"/>
        <v>#DIV/0!</v>
      </c>
      <c r="U136" s="62" t="e">
        <f t="shared" si="156"/>
        <v>#DIV/0!</v>
      </c>
      <c r="V136" s="62" t="e">
        <f t="shared" si="157"/>
        <v>#DIV/0!</v>
      </c>
      <c r="W136" s="59" t="e">
        <f t="shared" si="160"/>
        <v>#DIV/0!</v>
      </c>
      <c r="X136" s="101" t="e">
        <f t="shared" si="161"/>
        <v>#DIV/0!</v>
      </c>
      <c r="Y136" s="104"/>
      <c r="AA136" s="62" t="e">
        <f t="shared" si="162"/>
        <v>#DIV/0!</v>
      </c>
      <c r="AN136" s="55"/>
      <c r="AP136" s="67" t="s">
        <v>20</v>
      </c>
      <c r="AQ136" s="59"/>
      <c r="AR136" s="63" t="str">
        <f t="shared" ref="AR136:BF136" si="179">IF(AR9="","",(1/(1+EXP($AT$122-AR9/$AT$119)^$AT$121))*((AR9-$AT$119)/$AT$120)+(1/(1+EXP(AR9/$AT$119-$AT$122)^$AT$121))*((($AT$116-AR9)*$AT$118)/(AR9+$AT$117)))</f>
        <v/>
      </c>
      <c r="AS136" s="63" t="str">
        <f>IF(AS9="","",(1/(1+EXP($AT$122-AS9/$AT$119)^$AT$121))*((AS9-$AT$119)/$AT$120)+(1/(1+EXP(AS9/$AT$119-$AT$122)^$AT$121))*((($AT$116-AS9)*$AT$118)/(AS9+$AT$117)))</f>
        <v/>
      </c>
      <c r="AT136" s="63" t="str">
        <f t="shared" si="179"/>
        <v/>
      </c>
      <c r="AU136" s="63" t="str">
        <f t="shared" si="179"/>
        <v/>
      </c>
      <c r="AV136" s="63" t="str">
        <f t="shared" si="179"/>
        <v/>
      </c>
      <c r="AW136" s="63" t="str">
        <f t="shared" si="179"/>
        <v/>
      </c>
      <c r="AX136" s="63" t="str">
        <f t="shared" si="179"/>
        <v/>
      </c>
      <c r="AY136" s="63" t="str">
        <f t="shared" si="179"/>
        <v/>
      </c>
      <c r="AZ136" s="63" t="str">
        <f t="shared" si="179"/>
        <v/>
      </c>
      <c r="BA136" s="63" t="str">
        <f t="shared" si="179"/>
        <v/>
      </c>
      <c r="BB136" s="63" t="str">
        <f t="shared" si="179"/>
        <v/>
      </c>
      <c r="BC136" s="63" t="str">
        <f t="shared" si="179"/>
        <v/>
      </c>
      <c r="BD136" s="63" t="str">
        <f t="shared" si="179"/>
        <v/>
      </c>
      <c r="BE136" s="63" t="str">
        <f t="shared" si="179"/>
        <v/>
      </c>
      <c r="BF136" s="63" t="str">
        <f t="shared" si="179"/>
        <v/>
      </c>
      <c r="BI136" s="67" t="s">
        <v>20</v>
      </c>
      <c r="BJ136" s="59"/>
      <c r="BK136" s="63" t="e">
        <f t="shared" ref="BK136:BY136" si="180">IF(AR9="",NA(),(1/(1+EXP($AT$122-AR9/$AT$119)^$AT$121))*((AR9-$AT$119)/$AT$120)+(1/(1+EXP(AR9/$AT$119-$AT$122)^$AT$121))*((($AT$116-AR9)*$AT$118)/(AR9+$AT$117)))</f>
        <v>#N/A</v>
      </c>
      <c r="BL136" s="63" t="e">
        <f t="shared" si="180"/>
        <v>#N/A</v>
      </c>
      <c r="BM136" s="63" t="e">
        <f t="shared" si="180"/>
        <v>#N/A</v>
      </c>
      <c r="BN136" s="63" t="e">
        <f t="shared" si="180"/>
        <v>#N/A</v>
      </c>
      <c r="BO136" s="63" t="e">
        <f t="shared" si="180"/>
        <v>#N/A</v>
      </c>
      <c r="BP136" s="63" t="e">
        <f t="shared" si="180"/>
        <v>#N/A</v>
      </c>
      <c r="BQ136" s="63" t="e">
        <f t="shared" si="180"/>
        <v>#N/A</v>
      </c>
      <c r="BR136" s="63" t="e">
        <f t="shared" si="180"/>
        <v>#N/A</v>
      </c>
      <c r="BS136" s="63" t="e">
        <f t="shared" si="180"/>
        <v>#N/A</v>
      </c>
      <c r="BT136" s="63" t="e">
        <f t="shared" si="180"/>
        <v>#N/A</v>
      </c>
      <c r="BU136" s="63" t="e">
        <f t="shared" si="180"/>
        <v>#N/A</v>
      </c>
      <c r="BV136" s="63" t="e">
        <f t="shared" si="180"/>
        <v>#N/A</v>
      </c>
      <c r="BW136" s="63" t="e">
        <f t="shared" si="180"/>
        <v>#N/A</v>
      </c>
      <c r="BX136" s="63" t="e">
        <f t="shared" si="180"/>
        <v>#N/A</v>
      </c>
      <c r="BY136" s="63" t="e">
        <f t="shared" si="180"/>
        <v>#N/A</v>
      </c>
    </row>
    <row r="137" spans="1:77" x14ac:dyDescent="0.5">
      <c r="A137" s="49"/>
      <c r="B137" s="62">
        <v>0.27999999999999903</v>
      </c>
      <c r="C137" s="62" t="e">
        <f t="shared" si="166"/>
        <v>#DIV/0!</v>
      </c>
      <c r="D137" s="62" t="e">
        <f t="shared" si="167"/>
        <v>#DIV/0!</v>
      </c>
      <c r="E137" s="59">
        <f t="shared" si="170"/>
        <v>27.999999999999904</v>
      </c>
      <c r="F137" s="59" t="e">
        <f t="shared" si="171"/>
        <v>#DIV/0!</v>
      </c>
      <c r="G137" s="59" t="e">
        <f t="shared" si="172"/>
        <v>#DIV/0!</v>
      </c>
      <c r="H137" s="62" t="e">
        <f t="shared" si="168"/>
        <v>#DIV/0!</v>
      </c>
      <c r="I137" s="62" t="e">
        <f t="shared" si="169"/>
        <v>#DIV/0!</v>
      </c>
      <c r="J137" s="62" t="e">
        <f t="shared" si="173"/>
        <v>#DIV/0!</v>
      </c>
      <c r="K137" s="62" t="e">
        <f t="shared" si="174"/>
        <v>#DIV/0!</v>
      </c>
      <c r="L137" s="62" t="e">
        <f t="shared" si="175"/>
        <v>#DIV/0!</v>
      </c>
      <c r="M137" s="62" t="e">
        <f t="shared" si="176"/>
        <v>#DIV/0!</v>
      </c>
      <c r="N137" s="62" t="e">
        <f t="shared" si="177"/>
        <v>#DIV/0!</v>
      </c>
      <c r="O137" s="17" t="e">
        <f t="shared" si="178"/>
        <v>#DIV/0!</v>
      </c>
      <c r="Q137" s="62">
        <v>0.73</v>
      </c>
      <c r="R137" s="62" t="e">
        <f t="shared" si="153"/>
        <v>#DIV/0!</v>
      </c>
      <c r="S137" s="62" t="e">
        <f t="shared" si="154"/>
        <v>#DIV/0!</v>
      </c>
      <c r="T137" s="62" t="e">
        <f t="shared" si="155"/>
        <v>#DIV/0!</v>
      </c>
      <c r="U137" s="62" t="e">
        <f t="shared" si="156"/>
        <v>#DIV/0!</v>
      </c>
      <c r="V137" s="62" t="e">
        <f t="shared" si="157"/>
        <v>#DIV/0!</v>
      </c>
      <c r="W137" s="59" t="e">
        <f t="shared" si="160"/>
        <v>#DIV/0!</v>
      </c>
      <c r="X137" s="101" t="e">
        <f t="shared" si="161"/>
        <v>#DIV/0!</v>
      </c>
      <c r="Y137" s="104"/>
      <c r="AA137" s="62" t="e">
        <f t="shared" si="162"/>
        <v>#DIV/0!</v>
      </c>
      <c r="AN137" s="55"/>
      <c r="AP137" s="59" t="s">
        <v>40</v>
      </c>
      <c r="AQ137" s="59"/>
      <c r="AR137" s="63" t="str">
        <f t="shared" ref="AR137:BF137" si="181">IF(AR9="","",AR136-$AP$4)</f>
        <v/>
      </c>
      <c r="AS137" s="63" t="str">
        <f t="shared" si="181"/>
        <v/>
      </c>
      <c r="AT137" s="63" t="str">
        <f t="shared" si="181"/>
        <v/>
      </c>
      <c r="AU137" s="63" t="str">
        <f t="shared" si="181"/>
        <v/>
      </c>
      <c r="AV137" s="63" t="str">
        <f t="shared" si="181"/>
        <v/>
      </c>
      <c r="AW137" s="63" t="str">
        <f t="shared" si="181"/>
        <v/>
      </c>
      <c r="AX137" s="63" t="str">
        <f t="shared" si="181"/>
        <v/>
      </c>
      <c r="AY137" s="63" t="str">
        <f t="shared" si="181"/>
        <v/>
      </c>
      <c r="AZ137" s="63" t="str">
        <f t="shared" si="181"/>
        <v/>
      </c>
      <c r="BA137" s="63" t="str">
        <f t="shared" si="181"/>
        <v/>
      </c>
      <c r="BB137" s="63" t="str">
        <f t="shared" si="181"/>
        <v/>
      </c>
      <c r="BC137" s="63" t="str">
        <f t="shared" si="181"/>
        <v/>
      </c>
      <c r="BD137" s="63" t="str">
        <f t="shared" si="181"/>
        <v/>
      </c>
      <c r="BE137" s="63" t="str">
        <f t="shared" si="181"/>
        <v/>
      </c>
      <c r="BF137" s="63" t="str">
        <f t="shared" si="181"/>
        <v/>
      </c>
      <c r="BI137" s="59" t="s">
        <v>40</v>
      </c>
      <c r="BJ137" s="59"/>
      <c r="BK137" s="63" t="e">
        <f t="shared" ref="BK137:BY137" si="182">IF(AR9="",NA(),AR136-$AP$4)</f>
        <v>#N/A</v>
      </c>
      <c r="BL137" s="63" t="e">
        <f t="shared" si="182"/>
        <v>#N/A</v>
      </c>
      <c r="BM137" s="63" t="e">
        <f t="shared" si="182"/>
        <v>#N/A</v>
      </c>
      <c r="BN137" s="63" t="e">
        <f t="shared" si="182"/>
        <v>#N/A</v>
      </c>
      <c r="BO137" s="63" t="e">
        <f t="shared" si="182"/>
        <v>#N/A</v>
      </c>
      <c r="BP137" s="63" t="e">
        <f t="shared" si="182"/>
        <v>#N/A</v>
      </c>
      <c r="BQ137" s="63" t="e">
        <f t="shared" si="182"/>
        <v>#N/A</v>
      </c>
      <c r="BR137" s="63" t="e">
        <f t="shared" si="182"/>
        <v>#N/A</v>
      </c>
      <c r="BS137" s="63" t="e">
        <f t="shared" si="182"/>
        <v>#N/A</v>
      </c>
      <c r="BT137" s="63" t="e">
        <f t="shared" si="182"/>
        <v>#N/A</v>
      </c>
      <c r="BU137" s="63" t="e">
        <f t="shared" si="182"/>
        <v>#N/A</v>
      </c>
      <c r="BV137" s="63" t="e">
        <f t="shared" si="182"/>
        <v>#N/A</v>
      </c>
      <c r="BW137" s="63" t="e">
        <f t="shared" si="182"/>
        <v>#N/A</v>
      </c>
      <c r="BX137" s="63" t="e">
        <f t="shared" si="182"/>
        <v>#N/A</v>
      </c>
      <c r="BY137" s="63" t="e">
        <f t="shared" si="182"/>
        <v>#N/A</v>
      </c>
    </row>
    <row r="138" spans="1:77" x14ac:dyDescent="0.5">
      <c r="A138" s="49"/>
      <c r="B138" s="62">
        <v>0.26999999999999902</v>
      </c>
      <c r="C138" s="62" t="e">
        <f t="shared" si="166"/>
        <v>#DIV/0!</v>
      </c>
      <c r="D138" s="62" t="e">
        <f t="shared" si="167"/>
        <v>#DIV/0!</v>
      </c>
      <c r="E138" s="59">
        <f t="shared" si="170"/>
        <v>26.999999999999901</v>
      </c>
      <c r="F138" s="59" t="e">
        <f t="shared" si="171"/>
        <v>#DIV/0!</v>
      </c>
      <c r="G138" s="59" t="e">
        <f t="shared" si="172"/>
        <v>#DIV/0!</v>
      </c>
      <c r="H138" s="62" t="e">
        <f t="shared" si="168"/>
        <v>#DIV/0!</v>
      </c>
      <c r="I138" s="62" t="e">
        <f t="shared" si="169"/>
        <v>#DIV/0!</v>
      </c>
      <c r="J138" s="62" t="e">
        <f t="shared" si="173"/>
        <v>#DIV/0!</v>
      </c>
      <c r="K138" s="62" t="e">
        <f t="shared" si="174"/>
        <v>#DIV/0!</v>
      </c>
      <c r="L138" s="62" t="e">
        <f t="shared" si="175"/>
        <v>#DIV/0!</v>
      </c>
      <c r="M138" s="62" t="e">
        <f t="shared" si="176"/>
        <v>#DIV/0!</v>
      </c>
      <c r="N138" s="62" t="e">
        <f t="shared" si="177"/>
        <v>#DIV/0!</v>
      </c>
      <c r="O138" s="17" t="e">
        <f t="shared" si="178"/>
        <v>#DIV/0!</v>
      </c>
      <c r="Q138" s="62">
        <v>0.72</v>
      </c>
      <c r="R138" s="62" t="e">
        <f t="shared" si="153"/>
        <v>#DIV/0!</v>
      </c>
      <c r="S138" s="62" t="e">
        <f t="shared" si="154"/>
        <v>#DIV/0!</v>
      </c>
      <c r="T138" s="62" t="e">
        <f t="shared" si="155"/>
        <v>#DIV/0!</v>
      </c>
      <c r="U138" s="62" t="e">
        <f t="shared" si="156"/>
        <v>#DIV/0!</v>
      </c>
      <c r="V138" s="62" t="e">
        <f t="shared" si="157"/>
        <v>#DIV/0!</v>
      </c>
      <c r="W138" s="59" t="e">
        <f t="shared" si="160"/>
        <v>#DIV/0!</v>
      </c>
      <c r="X138" s="101" t="e">
        <f t="shared" si="161"/>
        <v>#DIV/0!</v>
      </c>
      <c r="Y138" s="104"/>
      <c r="AA138" s="62" t="e">
        <f t="shared" si="162"/>
        <v>#DIV/0!</v>
      </c>
      <c r="AN138" s="55"/>
      <c r="AP138" s="59" t="s">
        <v>41</v>
      </c>
      <c r="AQ138" s="59"/>
      <c r="AR138" s="63" t="str">
        <f t="shared" ref="AR138:BF138" si="183">IF(AR9="","",AR136+$AP$4)</f>
        <v/>
      </c>
      <c r="AS138" s="63" t="str">
        <f t="shared" si="183"/>
        <v/>
      </c>
      <c r="AT138" s="63" t="str">
        <f t="shared" si="183"/>
        <v/>
      </c>
      <c r="AU138" s="63" t="str">
        <f t="shared" si="183"/>
        <v/>
      </c>
      <c r="AV138" s="63" t="str">
        <f t="shared" si="183"/>
        <v/>
      </c>
      <c r="AW138" s="63" t="str">
        <f t="shared" si="183"/>
        <v/>
      </c>
      <c r="AX138" s="63" t="str">
        <f t="shared" si="183"/>
        <v/>
      </c>
      <c r="AY138" s="63" t="str">
        <f t="shared" si="183"/>
        <v/>
      </c>
      <c r="AZ138" s="63" t="str">
        <f t="shared" si="183"/>
        <v/>
      </c>
      <c r="BA138" s="63" t="str">
        <f t="shared" si="183"/>
        <v/>
      </c>
      <c r="BB138" s="63" t="str">
        <f t="shared" si="183"/>
        <v/>
      </c>
      <c r="BC138" s="63" t="str">
        <f t="shared" si="183"/>
        <v/>
      </c>
      <c r="BD138" s="63" t="str">
        <f t="shared" si="183"/>
        <v/>
      </c>
      <c r="BE138" s="63" t="str">
        <f t="shared" si="183"/>
        <v/>
      </c>
      <c r="BF138" s="63" t="str">
        <f t="shared" si="183"/>
        <v/>
      </c>
      <c r="BI138" s="59" t="s">
        <v>41</v>
      </c>
      <c r="BJ138" s="59"/>
      <c r="BK138" s="63" t="e">
        <f t="shared" ref="BK138:BY138" si="184">IF(AR9="",NA(),AR136+$AP$4)</f>
        <v>#N/A</v>
      </c>
      <c r="BL138" s="63" t="e">
        <f t="shared" si="184"/>
        <v>#N/A</v>
      </c>
      <c r="BM138" s="63" t="e">
        <f t="shared" si="184"/>
        <v>#N/A</v>
      </c>
      <c r="BN138" s="63" t="e">
        <f t="shared" si="184"/>
        <v>#N/A</v>
      </c>
      <c r="BO138" s="63" t="e">
        <f t="shared" si="184"/>
        <v>#N/A</v>
      </c>
      <c r="BP138" s="63" t="e">
        <f t="shared" si="184"/>
        <v>#N/A</v>
      </c>
      <c r="BQ138" s="63" t="e">
        <f t="shared" si="184"/>
        <v>#N/A</v>
      </c>
      <c r="BR138" s="63" t="e">
        <f t="shared" si="184"/>
        <v>#N/A</v>
      </c>
      <c r="BS138" s="63" t="e">
        <f t="shared" si="184"/>
        <v>#N/A</v>
      </c>
      <c r="BT138" s="63" t="e">
        <f t="shared" si="184"/>
        <v>#N/A</v>
      </c>
      <c r="BU138" s="63" t="e">
        <f t="shared" si="184"/>
        <v>#N/A</v>
      </c>
      <c r="BV138" s="63" t="e">
        <f t="shared" si="184"/>
        <v>#N/A</v>
      </c>
      <c r="BW138" s="63" t="e">
        <f t="shared" si="184"/>
        <v>#N/A</v>
      </c>
      <c r="BX138" s="63" t="e">
        <f t="shared" si="184"/>
        <v>#N/A</v>
      </c>
      <c r="BY138" s="63" t="e">
        <f t="shared" si="184"/>
        <v>#N/A</v>
      </c>
    </row>
    <row r="139" spans="1:77" x14ac:dyDescent="0.5">
      <c r="A139" s="49"/>
      <c r="B139" s="62">
        <v>0.25999999999999901</v>
      </c>
      <c r="C139" s="62" t="e">
        <f t="shared" si="166"/>
        <v>#DIV/0!</v>
      </c>
      <c r="D139" s="62" t="e">
        <f t="shared" si="167"/>
        <v>#DIV/0!</v>
      </c>
      <c r="E139" s="59">
        <f t="shared" si="170"/>
        <v>25.999999999999901</v>
      </c>
      <c r="F139" s="59" t="e">
        <f t="shared" si="171"/>
        <v>#DIV/0!</v>
      </c>
      <c r="G139" s="59" t="e">
        <f t="shared" si="172"/>
        <v>#DIV/0!</v>
      </c>
      <c r="H139" s="62" t="e">
        <f t="shared" si="168"/>
        <v>#DIV/0!</v>
      </c>
      <c r="I139" s="62" t="e">
        <f t="shared" si="169"/>
        <v>#DIV/0!</v>
      </c>
      <c r="J139" s="62" t="e">
        <f t="shared" si="173"/>
        <v>#DIV/0!</v>
      </c>
      <c r="K139" s="62" t="e">
        <f t="shared" si="174"/>
        <v>#DIV/0!</v>
      </c>
      <c r="L139" s="62" t="e">
        <f t="shared" si="175"/>
        <v>#DIV/0!</v>
      </c>
      <c r="M139" s="62" t="e">
        <f t="shared" si="176"/>
        <v>#DIV/0!</v>
      </c>
      <c r="N139" s="62" t="e">
        <f t="shared" si="177"/>
        <v>#DIV/0!</v>
      </c>
      <c r="O139" s="17" t="e">
        <f t="shared" si="178"/>
        <v>#DIV/0!</v>
      </c>
      <c r="Q139" s="62">
        <v>0.71</v>
      </c>
      <c r="R139" s="62" t="e">
        <f t="shared" si="153"/>
        <v>#DIV/0!</v>
      </c>
      <c r="S139" s="62" t="e">
        <f t="shared" si="154"/>
        <v>#DIV/0!</v>
      </c>
      <c r="T139" s="62" t="e">
        <f t="shared" si="155"/>
        <v>#DIV/0!</v>
      </c>
      <c r="U139" s="62" t="e">
        <f t="shared" si="156"/>
        <v>#DIV/0!</v>
      </c>
      <c r="V139" s="62" t="e">
        <f t="shared" si="157"/>
        <v>#DIV/0!</v>
      </c>
      <c r="W139" s="59" t="e">
        <f t="shared" si="160"/>
        <v>#DIV/0!</v>
      </c>
      <c r="X139" s="101" t="e">
        <f t="shared" si="161"/>
        <v>#DIV/0!</v>
      </c>
      <c r="Y139" s="104"/>
      <c r="AA139" s="62" t="e">
        <f t="shared" si="162"/>
        <v>#DIV/0!</v>
      </c>
      <c r="AN139" s="55"/>
    </row>
    <row r="140" spans="1:77" x14ac:dyDescent="0.5">
      <c r="A140" s="49"/>
      <c r="B140" s="62">
        <v>0.249999999999999</v>
      </c>
      <c r="C140" s="62" t="e">
        <f t="shared" si="166"/>
        <v>#DIV/0!</v>
      </c>
      <c r="D140" s="62" t="e">
        <f t="shared" si="167"/>
        <v>#DIV/0!</v>
      </c>
      <c r="E140" s="59">
        <f t="shared" si="170"/>
        <v>24.999999999999901</v>
      </c>
      <c r="F140" s="59" t="e">
        <f t="shared" si="171"/>
        <v>#DIV/0!</v>
      </c>
      <c r="G140" s="59" t="e">
        <f t="shared" si="172"/>
        <v>#DIV/0!</v>
      </c>
      <c r="H140" s="62" t="e">
        <f t="shared" si="168"/>
        <v>#DIV/0!</v>
      </c>
      <c r="I140" s="62" t="e">
        <f t="shared" si="169"/>
        <v>#DIV/0!</v>
      </c>
      <c r="J140" s="62" t="e">
        <f t="shared" si="173"/>
        <v>#DIV/0!</v>
      </c>
      <c r="K140" s="62" t="e">
        <f t="shared" si="174"/>
        <v>#DIV/0!</v>
      </c>
      <c r="L140" s="62" t="e">
        <f t="shared" si="175"/>
        <v>#DIV/0!</v>
      </c>
      <c r="M140" s="62" t="e">
        <f t="shared" si="176"/>
        <v>#DIV/0!</v>
      </c>
      <c r="N140" s="62" t="e">
        <f t="shared" si="177"/>
        <v>#DIV/0!</v>
      </c>
      <c r="O140" s="17" t="e">
        <f t="shared" si="178"/>
        <v>#DIV/0!</v>
      </c>
      <c r="Q140" s="62">
        <v>0.7</v>
      </c>
      <c r="R140" s="62" t="e">
        <f t="shared" si="153"/>
        <v>#DIV/0!</v>
      </c>
      <c r="S140" s="62" t="e">
        <f t="shared" si="154"/>
        <v>#DIV/0!</v>
      </c>
      <c r="T140" s="62" t="e">
        <f t="shared" si="155"/>
        <v>#DIV/0!</v>
      </c>
      <c r="U140" s="62" t="e">
        <f t="shared" si="156"/>
        <v>#DIV/0!</v>
      </c>
      <c r="V140" s="62" t="e">
        <f t="shared" si="157"/>
        <v>#DIV/0!</v>
      </c>
      <c r="W140" s="59" t="e">
        <f t="shared" si="160"/>
        <v>#DIV/0!</v>
      </c>
      <c r="X140" s="101" t="e">
        <f t="shared" si="161"/>
        <v>#DIV/0!</v>
      </c>
      <c r="Y140" s="104"/>
      <c r="AA140" s="62" t="e">
        <f t="shared" si="162"/>
        <v>#DIV/0!</v>
      </c>
      <c r="AN140" s="55"/>
      <c r="AP140" s="67" t="s">
        <v>42</v>
      </c>
      <c r="AQ140" s="59"/>
      <c r="AR140" s="63" t="str">
        <f t="shared" ref="AR140:BF140" si="185">IF(AR9="","",AR9*AR136)</f>
        <v/>
      </c>
      <c r="AS140" s="63" t="str">
        <f t="shared" si="185"/>
        <v/>
      </c>
      <c r="AT140" s="63" t="str">
        <f t="shared" si="185"/>
        <v/>
      </c>
      <c r="AU140" s="63" t="str">
        <f t="shared" si="185"/>
        <v/>
      </c>
      <c r="AV140" s="63" t="str">
        <f t="shared" si="185"/>
        <v/>
      </c>
      <c r="AW140" s="63" t="str">
        <f t="shared" si="185"/>
        <v/>
      </c>
      <c r="AX140" s="63" t="str">
        <f t="shared" si="185"/>
        <v/>
      </c>
      <c r="AY140" s="63" t="str">
        <f t="shared" si="185"/>
        <v/>
      </c>
      <c r="AZ140" s="63" t="str">
        <f t="shared" si="185"/>
        <v/>
      </c>
      <c r="BA140" s="63" t="str">
        <f t="shared" si="185"/>
        <v/>
      </c>
      <c r="BB140" s="63" t="str">
        <f t="shared" si="185"/>
        <v/>
      </c>
      <c r="BC140" s="63" t="str">
        <f t="shared" si="185"/>
        <v/>
      </c>
      <c r="BD140" s="63" t="str">
        <f t="shared" si="185"/>
        <v/>
      </c>
      <c r="BE140" s="63" t="str">
        <f t="shared" si="185"/>
        <v/>
      </c>
      <c r="BF140" s="63" t="str">
        <f t="shared" si="185"/>
        <v/>
      </c>
      <c r="BI140" s="67" t="s">
        <v>42</v>
      </c>
      <c r="BJ140" s="59"/>
      <c r="BK140" s="63" t="e">
        <f t="shared" ref="BK140:BY140" si="186">IF(AR9="",NA(),AR9*AR136)</f>
        <v>#N/A</v>
      </c>
      <c r="BL140" s="63" t="e">
        <f t="shared" si="186"/>
        <v>#N/A</v>
      </c>
      <c r="BM140" s="63" t="e">
        <f t="shared" si="186"/>
        <v>#N/A</v>
      </c>
      <c r="BN140" s="63" t="e">
        <f t="shared" si="186"/>
        <v>#N/A</v>
      </c>
      <c r="BO140" s="63" t="e">
        <f t="shared" si="186"/>
        <v>#N/A</v>
      </c>
      <c r="BP140" s="63" t="e">
        <f t="shared" si="186"/>
        <v>#N/A</v>
      </c>
      <c r="BQ140" s="63" t="e">
        <f t="shared" si="186"/>
        <v>#N/A</v>
      </c>
      <c r="BR140" s="63" t="e">
        <f t="shared" si="186"/>
        <v>#N/A</v>
      </c>
      <c r="BS140" s="63" t="e">
        <f t="shared" si="186"/>
        <v>#N/A</v>
      </c>
      <c r="BT140" s="63" t="e">
        <f t="shared" si="186"/>
        <v>#N/A</v>
      </c>
      <c r="BU140" s="63" t="e">
        <f t="shared" si="186"/>
        <v>#N/A</v>
      </c>
      <c r="BV140" s="63" t="e">
        <f t="shared" si="186"/>
        <v>#N/A</v>
      </c>
      <c r="BW140" s="63" t="e">
        <f t="shared" si="186"/>
        <v>#N/A</v>
      </c>
      <c r="BX140" s="63" t="e">
        <f t="shared" si="186"/>
        <v>#N/A</v>
      </c>
      <c r="BY140" s="63" t="e">
        <f t="shared" si="186"/>
        <v>#N/A</v>
      </c>
    </row>
    <row r="141" spans="1:77" x14ac:dyDescent="0.5">
      <c r="A141" s="49"/>
      <c r="B141" s="62">
        <v>0.23999999999999899</v>
      </c>
      <c r="C141" s="62" t="e">
        <f t="shared" si="166"/>
        <v>#DIV/0!</v>
      </c>
      <c r="D141" s="62" t="e">
        <f t="shared" si="167"/>
        <v>#DIV/0!</v>
      </c>
      <c r="E141" s="59">
        <f t="shared" si="170"/>
        <v>23.999999999999901</v>
      </c>
      <c r="F141" s="59" t="e">
        <f t="shared" si="171"/>
        <v>#DIV/0!</v>
      </c>
      <c r="G141" s="59" t="e">
        <f t="shared" si="172"/>
        <v>#DIV/0!</v>
      </c>
      <c r="H141" s="62" t="e">
        <f t="shared" si="168"/>
        <v>#DIV/0!</v>
      </c>
      <c r="I141" s="62" t="e">
        <f t="shared" si="169"/>
        <v>#DIV/0!</v>
      </c>
      <c r="J141" s="62" t="e">
        <f t="shared" si="173"/>
        <v>#DIV/0!</v>
      </c>
      <c r="K141" s="62" t="e">
        <f t="shared" si="174"/>
        <v>#DIV/0!</v>
      </c>
      <c r="L141" s="62" t="e">
        <f t="shared" si="175"/>
        <v>#DIV/0!</v>
      </c>
      <c r="M141" s="62" t="e">
        <f t="shared" si="176"/>
        <v>#DIV/0!</v>
      </c>
      <c r="N141" s="62" t="e">
        <f t="shared" si="177"/>
        <v>#DIV/0!</v>
      </c>
      <c r="O141" s="17" t="e">
        <f t="shared" si="178"/>
        <v>#DIV/0!</v>
      </c>
      <c r="Q141" s="62">
        <v>0.69</v>
      </c>
      <c r="R141" s="62" t="e">
        <f t="shared" si="153"/>
        <v>#DIV/0!</v>
      </c>
      <c r="S141" s="62" t="e">
        <f t="shared" si="154"/>
        <v>#DIV/0!</v>
      </c>
      <c r="T141" s="62" t="e">
        <f t="shared" si="155"/>
        <v>#DIV/0!</v>
      </c>
      <c r="U141" s="62" t="e">
        <f t="shared" si="156"/>
        <v>#DIV/0!</v>
      </c>
      <c r="V141" s="62" t="e">
        <f t="shared" si="157"/>
        <v>#DIV/0!</v>
      </c>
      <c r="W141" s="59" t="e">
        <f t="shared" si="160"/>
        <v>#DIV/0!</v>
      </c>
      <c r="X141" s="101" t="e">
        <f t="shared" si="161"/>
        <v>#DIV/0!</v>
      </c>
      <c r="Y141" s="104"/>
      <c r="AA141" s="62" t="e">
        <f t="shared" si="162"/>
        <v>#DIV/0!</v>
      </c>
      <c r="AN141" s="55"/>
      <c r="AP141" s="59" t="s">
        <v>45</v>
      </c>
      <c r="AQ141" s="59"/>
      <c r="AR141" s="63" t="str">
        <f t="shared" ref="AR141:BF141" si="187">IF(AR9="","",AR9*AR137)</f>
        <v/>
      </c>
      <c r="AS141" s="63" t="str">
        <f t="shared" si="187"/>
        <v/>
      </c>
      <c r="AT141" s="63" t="str">
        <f t="shared" si="187"/>
        <v/>
      </c>
      <c r="AU141" s="63" t="str">
        <f t="shared" si="187"/>
        <v/>
      </c>
      <c r="AV141" s="63" t="str">
        <f t="shared" si="187"/>
        <v/>
      </c>
      <c r="AW141" s="63" t="str">
        <f t="shared" si="187"/>
        <v/>
      </c>
      <c r="AX141" s="63" t="str">
        <f t="shared" si="187"/>
        <v/>
      </c>
      <c r="AY141" s="63" t="str">
        <f t="shared" si="187"/>
        <v/>
      </c>
      <c r="AZ141" s="63" t="str">
        <f t="shared" si="187"/>
        <v/>
      </c>
      <c r="BA141" s="63" t="str">
        <f t="shared" si="187"/>
        <v/>
      </c>
      <c r="BB141" s="63" t="str">
        <f t="shared" si="187"/>
        <v/>
      </c>
      <c r="BC141" s="63" t="str">
        <f t="shared" si="187"/>
        <v/>
      </c>
      <c r="BD141" s="63" t="str">
        <f t="shared" si="187"/>
        <v/>
      </c>
      <c r="BE141" s="63" t="str">
        <f t="shared" si="187"/>
        <v/>
      </c>
      <c r="BF141" s="63" t="str">
        <f t="shared" si="187"/>
        <v/>
      </c>
      <c r="BI141" s="59" t="s">
        <v>45</v>
      </c>
      <c r="BJ141" s="59"/>
      <c r="BK141" s="63" t="e">
        <f t="shared" ref="BK141:BY141" si="188">IF(AR9="",NA(),AR9*AR137)</f>
        <v>#N/A</v>
      </c>
      <c r="BL141" s="63" t="e">
        <f t="shared" si="188"/>
        <v>#N/A</v>
      </c>
      <c r="BM141" s="63" t="e">
        <f t="shared" si="188"/>
        <v>#N/A</v>
      </c>
      <c r="BN141" s="63" t="e">
        <f t="shared" si="188"/>
        <v>#N/A</v>
      </c>
      <c r="BO141" s="63" t="e">
        <f t="shared" si="188"/>
        <v>#N/A</v>
      </c>
      <c r="BP141" s="63" t="e">
        <f t="shared" si="188"/>
        <v>#N/A</v>
      </c>
      <c r="BQ141" s="63" t="e">
        <f t="shared" si="188"/>
        <v>#N/A</v>
      </c>
      <c r="BR141" s="63" t="e">
        <f t="shared" si="188"/>
        <v>#N/A</v>
      </c>
      <c r="BS141" s="63" t="e">
        <f t="shared" si="188"/>
        <v>#N/A</v>
      </c>
      <c r="BT141" s="63" t="e">
        <f t="shared" si="188"/>
        <v>#N/A</v>
      </c>
      <c r="BU141" s="63" t="e">
        <f t="shared" si="188"/>
        <v>#N/A</v>
      </c>
      <c r="BV141" s="63" t="e">
        <f t="shared" si="188"/>
        <v>#N/A</v>
      </c>
      <c r="BW141" s="63" t="e">
        <f t="shared" si="188"/>
        <v>#N/A</v>
      </c>
      <c r="BX141" s="63" t="e">
        <f t="shared" si="188"/>
        <v>#N/A</v>
      </c>
      <c r="BY141" s="63" t="e">
        <f t="shared" si="188"/>
        <v>#N/A</v>
      </c>
    </row>
    <row r="142" spans="1:77" x14ac:dyDescent="0.5">
      <c r="A142" s="49"/>
      <c r="B142" s="62">
        <v>0.22999999999999901</v>
      </c>
      <c r="C142" s="62" t="e">
        <f t="shared" si="166"/>
        <v>#DIV/0!</v>
      </c>
      <c r="D142" s="62" t="e">
        <f t="shared" si="167"/>
        <v>#DIV/0!</v>
      </c>
      <c r="E142" s="59">
        <f t="shared" si="170"/>
        <v>22.999999999999901</v>
      </c>
      <c r="F142" s="59" t="e">
        <f t="shared" si="171"/>
        <v>#DIV/0!</v>
      </c>
      <c r="G142" s="59" t="e">
        <f t="shared" si="172"/>
        <v>#DIV/0!</v>
      </c>
      <c r="H142" s="62" t="e">
        <f t="shared" si="168"/>
        <v>#DIV/0!</v>
      </c>
      <c r="I142" s="62" t="e">
        <f t="shared" si="169"/>
        <v>#DIV/0!</v>
      </c>
      <c r="J142" s="62" t="e">
        <f t="shared" si="173"/>
        <v>#DIV/0!</v>
      </c>
      <c r="K142" s="62" t="e">
        <f t="shared" si="174"/>
        <v>#DIV/0!</v>
      </c>
      <c r="L142" s="62" t="e">
        <f t="shared" si="175"/>
        <v>#DIV/0!</v>
      </c>
      <c r="M142" s="62" t="e">
        <f t="shared" si="176"/>
        <v>#DIV/0!</v>
      </c>
      <c r="N142" s="62" t="e">
        <f t="shared" si="177"/>
        <v>#DIV/0!</v>
      </c>
      <c r="O142" s="17" t="e">
        <f t="shared" si="178"/>
        <v>#DIV/0!</v>
      </c>
      <c r="Q142" s="62">
        <v>0.68</v>
      </c>
      <c r="R142" s="62" t="e">
        <f t="shared" ref="R142:R156" si="189">U142/$AT$124</f>
        <v>#DIV/0!</v>
      </c>
      <c r="S142" s="62" t="e">
        <f t="shared" ref="S142:S156" si="190">V142/$AT$125</f>
        <v>#DIV/0!</v>
      </c>
      <c r="T142" s="62" t="e">
        <f t="shared" ref="T142:T156" si="191">$AT$119*Q142</f>
        <v>#DIV/0!</v>
      </c>
      <c r="U142" s="62" t="e">
        <f t="shared" ref="U142:U156" si="192">(1/(1+EXP($AT$122-T142/$AT$119)^$AT$121))*((T142-$AT$119)/$AT$120)+(1/(1+EXP(T142/$AT$119-$AT$122)^$AT$121))*((($AT$116-T142)*$AT$118)/(T142+$AT$117))</f>
        <v>#DIV/0!</v>
      </c>
      <c r="V142" s="62" t="e">
        <f t="shared" ref="V142:V156" si="193">T142*U142</f>
        <v>#DIV/0!</v>
      </c>
      <c r="W142" s="59" t="e">
        <f t="shared" si="160"/>
        <v>#DIV/0!</v>
      </c>
      <c r="X142" s="101" t="e">
        <f t="shared" si="161"/>
        <v>#DIV/0!</v>
      </c>
      <c r="Y142" s="104"/>
      <c r="AA142" s="62" t="e">
        <f t="shared" si="162"/>
        <v>#DIV/0!</v>
      </c>
      <c r="AN142" s="55"/>
      <c r="AP142" s="59" t="s">
        <v>46</v>
      </c>
      <c r="AQ142" s="59"/>
      <c r="AR142" s="63" t="str">
        <f t="shared" ref="AR142:BF142" si="194">IF(AR9="","",AR9*AR138)</f>
        <v/>
      </c>
      <c r="AS142" s="63" t="str">
        <f t="shared" si="194"/>
        <v/>
      </c>
      <c r="AT142" s="63" t="str">
        <f t="shared" si="194"/>
        <v/>
      </c>
      <c r="AU142" s="63" t="str">
        <f t="shared" si="194"/>
        <v/>
      </c>
      <c r="AV142" s="63" t="str">
        <f t="shared" si="194"/>
        <v/>
      </c>
      <c r="AW142" s="63" t="str">
        <f t="shared" si="194"/>
        <v/>
      </c>
      <c r="AX142" s="63" t="str">
        <f t="shared" si="194"/>
        <v/>
      </c>
      <c r="AY142" s="63" t="str">
        <f t="shared" si="194"/>
        <v/>
      </c>
      <c r="AZ142" s="63" t="str">
        <f t="shared" si="194"/>
        <v/>
      </c>
      <c r="BA142" s="63" t="str">
        <f t="shared" si="194"/>
        <v/>
      </c>
      <c r="BB142" s="63" t="str">
        <f t="shared" si="194"/>
        <v/>
      </c>
      <c r="BC142" s="63" t="str">
        <f t="shared" si="194"/>
        <v/>
      </c>
      <c r="BD142" s="63" t="str">
        <f t="shared" si="194"/>
        <v/>
      </c>
      <c r="BE142" s="63" t="str">
        <f t="shared" si="194"/>
        <v/>
      </c>
      <c r="BF142" s="63" t="str">
        <f t="shared" si="194"/>
        <v/>
      </c>
      <c r="BI142" s="59" t="s">
        <v>46</v>
      </c>
      <c r="BJ142" s="59"/>
      <c r="BK142" s="63" t="e">
        <f t="shared" ref="BK142:BY142" si="195">IF(AR9="",NA(),AR9*AR138)</f>
        <v>#N/A</v>
      </c>
      <c r="BL142" s="63" t="e">
        <f t="shared" si="195"/>
        <v>#N/A</v>
      </c>
      <c r="BM142" s="63" t="e">
        <f t="shared" si="195"/>
        <v>#N/A</v>
      </c>
      <c r="BN142" s="63" t="e">
        <f t="shared" si="195"/>
        <v>#N/A</v>
      </c>
      <c r="BO142" s="63" t="e">
        <f t="shared" si="195"/>
        <v>#N/A</v>
      </c>
      <c r="BP142" s="63" t="e">
        <f t="shared" si="195"/>
        <v>#N/A</v>
      </c>
      <c r="BQ142" s="63" t="e">
        <f t="shared" si="195"/>
        <v>#N/A</v>
      </c>
      <c r="BR142" s="63" t="e">
        <f t="shared" si="195"/>
        <v>#N/A</v>
      </c>
      <c r="BS142" s="63" t="e">
        <f t="shared" si="195"/>
        <v>#N/A</v>
      </c>
      <c r="BT142" s="63" t="e">
        <f t="shared" si="195"/>
        <v>#N/A</v>
      </c>
      <c r="BU142" s="63" t="e">
        <f t="shared" si="195"/>
        <v>#N/A</v>
      </c>
      <c r="BV142" s="63" t="e">
        <f t="shared" si="195"/>
        <v>#N/A</v>
      </c>
      <c r="BW142" s="63" t="e">
        <f t="shared" si="195"/>
        <v>#N/A</v>
      </c>
      <c r="BX142" s="63" t="e">
        <f t="shared" si="195"/>
        <v>#N/A</v>
      </c>
      <c r="BY142" s="63" t="e">
        <f t="shared" si="195"/>
        <v>#N/A</v>
      </c>
    </row>
    <row r="143" spans="1:77" x14ac:dyDescent="0.5">
      <c r="A143" s="49"/>
      <c r="B143" s="62">
        <v>0.219999999999999</v>
      </c>
      <c r="C143" s="62" t="e">
        <f t="shared" si="166"/>
        <v>#DIV/0!</v>
      </c>
      <c r="D143" s="62" t="e">
        <f t="shared" si="167"/>
        <v>#DIV/0!</v>
      </c>
      <c r="E143" s="59">
        <f t="shared" si="170"/>
        <v>21.999999999999901</v>
      </c>
      <c r="F143" s="59" t="e">
        <f t="shared" si="171"/>
        <v>#DIV/0!</v>
      </c>
      <c r="G143" s="59" t="e">
        <f t="shared" si="172"/>
        <v>#DIV/0!</v>
      </c>
      <c r="H143" s="62" t="e">
        <f t="shared" si="168"/>
        <v>#DIV/0!</v>
      </c>
      <c r="I143" s="62" t="e">
        <f t="shared" si="169"/>
        <v>#DIV/0!</v>
      </c>
      <c r="J143" s="62" t="e">
        <f t="shared" si="173"/>
        <v>#DIV/0!</v>
      </c>
      <c r="K143" s="62" t="e">
        <f t="shared" si="174"/>
        <v>#DIV/0!</v>
      </c>
      <c r="L143" s="62" t="e">
        <f t="shared" si="175"/>
        <v>#DIV/0!</v>
      </c>
      <c r="M143" s="62" t="e">
        <f t="shared" si="176"/>
        <v>#DIV/0!</v>
      </c>
      <c r="N143" s="62" t="e">
        <f t="shared" si="177"/>
        <v>#DIV/0!</v>
      </c>
      <c r="O143" s="17" t="e">
        <f t="shared" si="178"/>
        <v>#DIV/0!</v>
      </c>
      <c r="Q143" s="62">
        <v>0.67</v>
      </c>
      <c r="R143" s="62" t="e">
        <f t="shared" si="189"/>
        <v>#DIV/0!</v>
      </c>
      <c r="S143" s="62" t="e">
        <f t="shared" si="190"/>
        <v>#DIV/0!</v>
      </c>
      <c r="T143" s="62" t="e">
        <f t="shared" si="191"/>
        <v>#DIV/0!</v>
      </c>
      <c r="U143" s="62" t="e">
        <f t="shared" si="192"/>
        <v>#DIV/0!</v>
      </c>
      <c r="V143" s="62" t="e">
        <f t="shared" si="193"/>
        <v>#DIV/0!</v>
      </c>
      <c r="W143" s="59" t="e">
        <f t="shared" si="160"/>
        <v>#DIV/0!</v>
      </c>
      <c r="X143" s="101" t="e">
        <f t="shared" ref="X143:X156" si="196">ROUND(((W142-W143)/$W$110),4)</f>
        <v>#DIV/0!</v>
      </c>
      <c r="Y143" s="104"/>
      <c r="AA143" s="62" t="e">
        <f t="shared" si="162"/>
        <v>#DIV/0!</v>
      </c>
      <c r="AN143" s="55"/>
    </row>
    <row r="144" spans="1:77" x14ac:dyDescent="0.5">
      <c r="A144" s="49"/>
      <c r="B144" s="62">
        <v>0.20999999999999899</v>
      </c>
      <c r="C144" s="62" t="e">
        <f t="shared" si="166"/>
        <v>#DIV/0!</v>
      </c>
      <c r="D144" s="62" t="e">
        <f t="shared" si="167"/>
        <v>#DIV/0!</v>
      </c>
      <c r="E144" s="59">
        <f t="shared" si="170"/>
        <v>20.999999999999901</v>
      </c>
      <c r="F144" s="59" t="e">
        <f t="shared" si="171"/>
        <v>#DIV/0!</v>
      </c>
      <c r="G144" s="59" t="e">
        <f t="shared" si="172"/>
        <v>#DIV/0!</v>
      </c>
      <c r="H144" s="62" t="e">
        <f t="shared" si="168"/>
        <v>#DIV/0!</v>
      </c>
      <c r="I144" s="62" t="e">
        <f t="shared" si="169"/>
        <v>#DIV/0!</v>
      </c>
      <c r="J144" s="62" t="e">
        <f t="shared" si="173"/>
        <v>#DIV/0!</v>
      </c>
      <c r="K144" s="62" t="e">
        <f t="shared" si="174"/>
        <v>#DIV/0!</v>
      </c>
      <c r="L144" s="62" t="e">
        <f t="shared" si="175"/>
        <v>#DIV/0!</v>
      </c>
      <c r="M144" s="62" t="e">
        <f t="shared" si="176"/>
        <v>#DIV/0!</v>
      </c>
      <c r="N144" s="62" t="e">
        <f t="shared" si="177"/>
        <v>#DIV/0!</v>
      </c>
      <c r="O144" s="17" t="e">
        <f t="shared" si="178"/>
        <v>#DIV/0!</v>
      </c>
      <c r="Q144" s="62">
        <v>0.66</v>
      </c>
      <c r="R144" s="62" t="e">
        <f t="shared" si="189"/>
        <v>#DIV/0!</v>
      </c>
      <c r="S144" s="62" t="e">
        <f t="shared" si="190"/>
        <v>#DIV/0!</v>
      </c>
      <c r="T144" s="62" t="e">
        <f t="shared" si="191"/>
        <v>#DIV/0!</v>
      </c>
      <c r="U144" s="62" t="e">
        <f t="shared" si="192"/>
        <v>#DIV/0!</v>
      </c>
      <c r="V144" s="62" t="e">
        <f t="shared" si="193"/>
        <v>#DIV/0!</v>
      </c>
      <c r="W144" s="59" t="e">
        <f t="shared" si="160"/>
        <v>#DIV/0!</v>
      </c>
      <c r="X144" s="101" t="e">
        <f t="shared" si="196"/>
        <v>#DIV/0!</v>
      </c>
      <c r="Y144" s="104"/>
      <c r="AA144" s="62" t="e">
        <f t="shared" si="162"/>
        <v>#DIV/0!</v>
      </c>
      <c r="AN144" s="55"/>
      <c r="AP144" s="53" t="s">
        <v>49</v>
      </c>
      <c r="BI144" s="53" t="s">
        <v>49</v>
      </c>
    </row>
    <row r="145" spans="1:77" x14ac:dyDescent="0.5">
      <c r="A145" s="49"/>
      <c r="B145" s="62">
        <v>0.19999999999999901</v>
      </c>
      <c r="C145" s="62" t="e">
        <f t="shared" si="166"/>
        <v>#DIV/0!</v>
      </c>
      <c r="D145" s="62" t="e">
        <f t="shared" si="167"/>
        <v>#DIV/0!</v>
      </c>
      <c r="E145" s="59">
        <f t="shared" si="170"/>
        <v>19.999999999999901</v>
      </c>
      <c r="F145" s="59" t="e">
        <f t="shared" si="171"/>
        <v>#DIV/0!</v>
      </c>
      <c r="G145" s="59" t="e">
        <f t="shared" si="172"/>
        <v>#DIV/0!</v>
      </c>
      <c r="H145" s="62" t="e">
        <f t="shared" si="168"/>
        <v>#DIV/0!</v>
      </c>
      <c r="I145" s="62" t="e">
        <f t="shared" si="169"/>
        <v>#DIV/0!</v>
      </c>
      <c r="J145" s="62" t="e">
        <f t="shared" si="173"/>
        <v>#DIV/0!</v>
      </c>
      <c r="K145" s="62" t="e">
        <f t="shared" si="174"/>
        <v>#DIV/0!</v>
      </c>
      <c r="L145" s="62" t="e">
        <f t="shared" si="175"/>
        <v>#DIV/0!</v>
      </c>
      <c r="M145" s="62" t="e">
        <f t="shared" si="176"/>
        <v>#DIV/0!</v>
      </c>
      <c r="N145" s="62" t="e">
        <f t="shared" si="177"/>
        <v>#DIV/0!</v>
      </c>
      <c r="O145" s="17" t="e">
        <f t="shared" si="178"/>
        <v>#DIV/0!</v>
      </c>
      <c r="Q145" s="62">
        <v>0.65</v>
      </c>
      <c r="R145" s="62" t="e">
        <f t="shared" si="189"/>
        <v>#DIV/0!</v>
      </c>
      <c r="S145" s="62" t="e">
        <f t="shared" si="190"/>
        <v>#DIV/0!</v>
      </c>
      <c r="T145" s="62" t="e">
        <f t="shared" si="191"/>
        <v>#DIV/0!</v>
      </c>
      <c r="U145" s="62" t="e">
        <f t="shared" si="192"/>
        <v>#DIV/0!</v>
      </c>
      <c r="V145" s="62" t="e">
        <f t="shared" si="193"/>
        <v>#DIV/0!</v>
      </c>
      <c r="W145" s="59" t="e">
        <f t="shared" si="160"/>
        <v>#DIV/0!</v>
      </c>
      <c r="X145" s="101" t="e">
        <f t="shared" si="196"/>
        <v>#DIV/0!</v>
      </c>
      <c r="Y145" s="104"/>
      <c r="AA145" s="62" t="e">
        <f t="shared" si="162"/>
        <v>#DIV/0!</v>
      </c>
      <c r="AN145" s="55"/>
      <c r="AP145" s="65" t="s">
        <v>23</v>
      </c>
      <c r="AQ145" s="59"/>
      <c r="AR145" s="63" t="str">
        <f t="shared" ref="AR145:BF145" si="197">IF(AR$16=0,AR9,"")</f>
        <v/>
      </c>
      <c r="AS145" s="63" t="str">
        <f t="shared" si="197"/>
        <v/>
      </c>
      <c r="AT145" s="63" t="str">
        <f t="shared" si="197"/>
        <v/>
      </c>
      <c r="AU145" s="63" t="str">
        <f t="shared" si="197"/>
        <v/>
      </c>
      <c r="AV145" s="63" t="str">
        <f t="shared" si="197"/>
        <v/>
      </c>
      <c r="AW145" s="63" t="str">
        <f t="shared" si="197"/>
        <v/>
      </c>
      <c r="AX145" s="63" t="str">
        <f t="shared" si="197"/>
        <v/>
      </c>
      <c r="AY145" s="63" t="str">
        <f t="shared" si="197"/>
        <v/>
      </c>
      <c r="AZ145" s="63" t="str">
        <f t="shared" si="197"/>
        <v/>
      </c>
      <c r="BA145" s="63" t="str">
        <f t="shared" si="197"/>
        <v/>
      </c>
      <c r="BB145" s="63" t="str">
        <f t="shared" si="197"/>
        <v/>
      </c>
      <c r="BC145" s="63" t="str">
        <f t="shared" si="197"/>
        <v/>
      </c>
      <c r="BD145" s="63" t="str">
        <f t="shared" si="197"/>
        <v/>
      </c>
      <c r="BE145" s="63" t="str">
        <f t="shared" si="197"/>
        <v/>
      </c>
      <c r="BF145" s="63" t="str">
        <f t="shared" si="197"/>
        <v/>
      </c>
      <c r="BI145" s="65" t="s">
        <v>23</v>
      </c>
      <c r="BJ145" s="59"/>
      <c r="BK145" s="63" t="e">
        <f t="shared" ref="BK145:BY147" si="198">IF(AR$16=0,AR9,NA())</f>
        <v>#N/A</v>
      </c>
      <c r="BL145" s="63" t="e">
        <f t="shared" si="198"/>
        <v>#N/A</v>
      </c>
      <c r="BM145" s="63" t="e">
        <f t="shared" si="198"/>
        <v>#N/A</v>
      </c>
      <c r="BN145" s="63" t="e">
        <f t="shared" si="198"/>
        <v>#N/A</v>
      </c>
      <c r="BO145" s="63" t="e">
        <f t="shared" si="198"/>
        <v>#N/A</v>
      </c>
      <c r="BP145" s="63" t="e">
        <f t="shared" si="198"/>
        <v>#N/A</v>
      </c>
      <c r="BQ145" s="63" t="e">
        <f t="shared" si="198"/>
        <v>#N/A</v>
      </c>
      <c r="BR145" s="63" t="e">
        <f t="shared" si="198"/>
        <v>#N/A</v>
      </c>
      <c r="BS145" s="63" t="e">
        <f t="shared" si="198"/>
        <v>#N/A</v>
      </c>
      <c r="BT145" s="63" t="e">
        <f t="shared" si="198"/>
        <v>#N/A</v>
      </c>
      <c r="BU145" s="63" t="e">
        <f t="shared" si="198"/>
        <v>#N/A</v>
      </c>
      <c r="BV145" s="63" t="e">
        <f t="shared" si="198"/>
        <v>#N/A</v>
      </c>
      <c r="BW145" s="63" t="e">
        <f t="shared" si="198"/>
        <v>#N/A</v>
      </c>
      <c r="BX145" s="63" t="e">
        <f t="shared" si="198"/>
        <v>#N/A</v>
      </c>
      <c r="BY145" s="63" t="e">
        <f t="shared" si="198"/>
        <v>#N/A</v>
      </c>
    </row>
    <row r="146" spans="1:77" x14ac:dyDescent="0.5">
      <c r="A146" s="49"/>
      <c r="B146" s="62">
        <v>0.189999999999999</v>
      </c>
      <c r="C146" s="62" t="e">
        <f t="shared" si="166"/>
        <v>#DIV/0!</v>
      </c>
      <c r="D146" s="62" t="e">
        <f t="shared" si="167"/>
        <v>#DIV/0!</v>
      </c>
      <c r="E146" s="59">
        <f t="shared" si="170"/>
        <v>18.999999999999901</v>
      </c>
      <c r="F146" s="59" t="e">
        <f t="shared" si="171"/>
        <v>#DIV/0!</v>
      </c>
      <c r="G146" s="59" t="e">
        <f t="shared" si="172"/>
        <v>#DIV/0!</v>
      </c>
      <c r="H146" s="62" t="e">
        <f t="shared" si="168"/>
        <v>#DIV/0!</v>
      </c>
      <c r="I146" s="62" t="e">
        <f t="shared" si="169"/>
        <v>#DIV/0!</v>
      </c>
      <c r="J146" s="62" t="e">
        <f t="shared" si="173"/>
        <v>#DIV/0!</v>
      </c>
      <c r="K146" s="62" t="e">
        <f t="shared" si="174"/>
        <v>#DIV/0!</v>
      </c>
      <c r="L146" s="62" t="e">
        <f t="shared" si="175"/>
        <v>#DIV/0!</v>
      </c>
      <c r="M146" s="62" t="e">
        <f t="shared" si="176"/>
        <v>#DIV/0!</v>
      </c>
      <c r="N146" s="62" t="e">
        <f t="shared" si="177"/>
        <v>#DIV/0!</v>
      </c>
      <c r="O146" s="17" t="e">
        <f t="shared" si="178"/>
        <v>#DIV/0!</v>
      </c>
      <c r="Q146" s="62">
        <v>0.64</v>
      </c>
      <c r="R146" s="62" t="e">
        <f t="shared" si="189"/>
        <v>#DIV/0!</v>
      </c>
      <c r="S146" s="62" t="e">
        <f t="shared" si="190"/>
        <v>#DIV/0!</v>
      </c>
      <c r="T146" s="62" t="e">
        <f t="shared" si="191"/>
        <v>#DIV/0!</v>
      </c>
      <c r="U146" s="62" t="e">
        <f t="shared" si="192"/>
        <v>#DIV/0!</v>
      </c>
      <c r="V146" s="62" t="e">
        <f t="shared" si="193"/>
        <v>#DIV/0!</v>
      </c>
      <c r="W146" s="59" t="e">
        <f t="shared" si="160"/>
        <v>#DIV/0!</v>
      </c>
      <c r="X146" s="101" t="e">
        <f t="shared" si="196"/>
        <v>#DIV/0!</v>
      </c>
      <c r="Y146" s="104"/>
      <c r="AA146" s="62" t="e">
        <f t="shared" si="162"/>
        <v>#DIV/0!</v>
      </c>
      <c r="AN146" s="55"/>
      <c r="AP146" s="67" t="s">
        <v>18</v>
      </c>
      <c r="AQ146" s="59"/>
      <c r="AR146" s="63" t="str">
        <f t="shared" ref="AR146:BF146" si="199">IF(AR$16=0,AR10,"")</f>
        <v/>
      </c>
      <c r="AS146" s="63" t="str">
        <f t="shared" si="199"/>
        <v/>
      </c>
      <c r="AT146" s="63" t="str">
        <f t="shared" si="199"/>
        <v/>
      </c>
      <c r="AU146" s="63" t="str">
        <f t="shared" si="199"/>
        <v/>
      </c>
      <c r="AV146" s="63" t="str">
        <f t="shared" si="199"/>
        <v/>
      </c>
      <c r="AW146" s="63" t="str">
        <f t="shared" si="199"/>
        <v/>
      </c>
      <c r="AX146" s="63" t="str">
        <f t="shared" si="199"/>
        <v/>
      </c>
      <c r="AY146" s="63" t="str">
        <f t="shared" si="199"/>
        <v/>
      </c>
      <c r="AZ146" s="63" t="str">
        <f t="shared" si="199"/>
        <v/>
      </c>
      <c r="BA146" s="63" t="str">
        <f t="shared" si="199"/>
        <v/>
      </c>
      <c r="BB146" s="63" t="str">
        <f t="shared" si="199"/>
        <v/>
      </c>
      <c r="BC146" s="63" t="str">
        <f t="shared" si="199"/>
        <v/>
      </c>
      <c r="BD146" s="63" t="str">
        <f t="shared" si="199"/>
        <v/>
      </c>
      <c r="BE146" s="63" t="str">
        <f t="shared" si="199"/>
        <v/>
      </c>
      <c r="BF146" s="63" t="str">
        <f t="shared" si="199"/>
        <v/>
      </c>
      <c r="BI146" s="67" t="s">
        <v>18</v>
      </c>
      <c r="BJ146" s="59"/>
      <c r="BK146" s="63" t="e">
        <f t="shared" si="198"/>
        <v>#N/A</v>
      </c>
      <c r="BL146" s="63" t="e">
        <f t="shared" si="198"/>
        <v>#N/A</v>
      </c>
      <c r="BM146" s="63" t="e">
        <f t="shared" si="198"/>
        <v>#N/A</v>
      </c>
      <c r="BN146" s="63" t="e">
        <f t="shared" si="198"/>
        <v>#N/A</v>
      </c>
      <c r="BO146" s="63" t="e">
        <f t="shared" si="198"/>
        <v>#N/A</v>
      </c>
      <c r="BP146" s="63" t="e">
        <f t="shared" si="198"/>
        <v>#N/A</v>
      </c>
      <c r="BQ146" s="63" t="e">
        <f t="shared" si="198"/>
        <v>#N/A</v>
      </c>
      <c r="BR146" s="63" t="e">
        <f t="shared" si="198"/>
        <v>#N/A</v>
      </c>
      <c r="BS146" s="63" t="e">
        <f t="shared" si="198"/>
        <v>#N/A</v>
      </c>
      <c r="BT146" s="63" t="e">
        <f t="shared" si="198"/>
        <v>#N/A</v>
      </c>
      <c r="BU146" s="63" t="e">
        <f t="shared" si="198"/>
        <v>#N/A</v>
      </c>
      <c r="BV146" s="63" t="e">
        <f t="shared" si="198"/>
        <v>#N/A</v>
      </c>
      <c r="BW146" s="63" t="e">
        <f t="shared" si="198"/>
        <v>#N/A</v>
      </c>
      <c r="BX146" s="63" t="e">
        <f t="shared" si="198"/>
        <v>#N/A</v>
      </c>
      <c r="BY146" s="63" t="e">
        <f t="shared" si="198"/>
        <v>#N/A</v>
      </c>
    </row>
    <row r="147" spans="1:77" x14ac:dyDescent="0.5">
      <c r="A147" s="49"/>
      <c r="B147" s="62">
        <v>0.17999999999999899</v>
      </c>
      <c r="C147" s="62" t="e">
        <f t="shared" si="166"/>
        <v>#DIV/0!</v>
      </c>
      <c r="D147" s="62" t="e">
        <f t="shared" si="167"/>
        <v>#DIV/0!</v>
      </c>
      <c r="E147" s="59">
        <f t="shared" si="170"/>
        <v>17.999999999999901</v>
      </c>
      <c r="F147" s="59" t="e">
        <f t="shared" si="171"/>
        <v>#DIV/0!</v>
      </c>
      <c r="G147" s="59" t="e">
        <f t="shared" si="172"/>
        <v>#DIV/0!</v>
      </c>
      <c r="H147" s="62" t="e">
        <f t="shared" si="168"/>
        <v>#DIV/0!</v>
      </c>
      <c r="I147" s="62" t="e">
        <f t="shared" si="169"/>
        <v>#DIV/0!</v>
      </c>
      <c r="J147" s="62" t="e">
        <f t="shared" si="173"/>
        <v>#DIV/0!</v>
      </c>
      <c r="K147" s="62" t="e">
        <f t="shared" si="174"/>
        <v>#DIV/0!</v>
      </c>
      <c r="L147" s="62" t="e">
        <f t="shared" si="175"/>
        <v>#DIV/0!</v>
      </c>
      <c r="M147" s="62" t="e">
        <f t="shared" si="176"/>
        <v>#DIV/0!</v>
      </c>
      <c r="N147" s="62" t="e">
        <f t="shared" si="177"/>
        <v>#DIV/0!</v>
      </c>
      <c r="O147" s="17" t="e">
        <f t="shared" si="178"/>
        <v>#DIV/0!</v>
      </c>
      <c r="Q147" s="62">
        <v>0.63</v>
      </c>
      <c r="R147" s="62" t="e">
        <f t="shared" si="189"/>
        <v>#DIV/0!</v>
      </c>
      <c r="S147" s="62" t="e">
        <f t="shared" si="190"/>
        <v>#DIV/0!</v>
      </c>
      <c r="T147" s="62" t="e">
        <f t="shared" si="191"/>
        <v>#DIV/0!</v>
      </c>
      <c r="U147" s="62" t="e">
        <f t="shared" si="192"/>
        <v>#DIV/0!</v>
      </c>
      <c r="V147" s="62" t="e">
        <f t="shared" si="193"/>
        <v>#DIV/0!</v>
      </c>
      <c r="W147" s="59" t="e">
        <f t="shared" si="160"/>
        <v>#DIV/0!</v>
      </c>
      <c r="X147" s="101" t="e">
        <f t="shared" si="196"/>
        <v>#DIV/0!</v>
      </c>
      <c r="Y147" s="104"/>
      <c r="AA147" s="62" t="e">
        <f t="shared" si="162"/>
        <v>#DIV/0!</v>
      </c>
      <c r="AN147" s="55"/>
      <c r="AP147" s="67" t="s">
        <v>0</v>
      </c>
      <c r="AQ147" s="59"/>
      <c r="AR147" s="63" t="str">
        <f t="shared" ref="AR147:BF147" si="200">IF(AR$16=0,AR11,"")</f>
        <v/>
      </c>
      <c r="AS147" s="63" t="str">
        <f t="shared" si="200"/>
        <v/>
      </c>
      <c r="AT147" s="63" t="str">
        <f t="shared" si="200"/>
        <v/>
      </c>
      <c r="AU147" s="63" t="str">
        <f t="shared" si="200"/>
        <v/>
      </c>
      <c r="AV147" s="63" t="str">
        <f t="shared" si="200"/>
        <v/>
      </c>
      <c r="AW147" s="63" t="str">
        <f t="shared" si="200"/>
        <v/>
      </c>
      <c r="AX147" s="63" t="str">
        <f t="shared" si="200"/>
        <v/>
      </c>
      <c r="AY147" s="63" t="str">
        <f t="shared" si="200"/>
        <v/>
      </c>
      <c r="AZ147" s="63" t="str">
        <f t="shared" si="200"/>
        <v/>
      </c>
      <c r="BA147" s="63" t="str">
        <f t="shared" si="200"/>
        <v/>
      </c>
      <c r="BB147" s="63" t="str">
        <f t="shared" si="200"/>
        <v/>
      </c>
      <c r="BC147" s="63" t="str">
        <f t="shared" si="200"/>
        <v/>
      </c>
      <c r="BD147" s="63" t="str">
        <f t="shared" si="200"/>
        <v/>
      </c>
      <c r="BE147" s="63" t="str">
        <f t="shared" si="200"/>
        <v/>
      </c>
      <c r="BF147" s="63" t="str">
        <f t="shared" si="200"/>
        <v/>
      </c>
      <c r="BI147" s="67" t="s">
        <v>0</v>
      </c>
      <c r="BJ147" s="59"/>
      <c r="BK147" s="63" t="e">
        <f t="shared" si="198"/>
        <v>#N/A</v>
      </c>
      <c r="BL147" s="63" t="e">
        <f t="shared" si="198"/>
        <v>#N/A</v>
      </c>
      <c r="BM147" s="63" t="e">
        <f t="shared" si="198"/>
        <v>#N/A</v>
      </c>
      <c r="BN147" s="63" t="e">
        <f t="shared" si="198"/>
        <v>#N/A</v>
      </c>
      <c r="BO147" s="63" t="e">
        <f t="shared" si="198"/>
        <v>#N/A</v>
      </c>
      <c r="BP147" s="63" t="e">
        <f t="shared" si="198"/>
        <v>#N/A</v>
      </c>
      <c r="BQ147" s="63" t="e">
        <f t="shared" si="198"/>
        <v>#N/A</v>
      </c>
      <c r="BR147" s="63" t="e">
        <f t="shared" si="198"/>
        <v>#N/A</v>
      </c>
      <c r="BS147" s="63" t="e">
        <f t="shared" si="198"/>
        <v>#N/A</v>
      </c>
      <c r="BT147" s="63" t="e">
        <f t="shared" si="198"/>
        <v>#N/A</v>
      </c>
      <c r="BU147" s="63" t="e">
        <f t="shared" si="198"/>
        <v>#N/A</v>
      </c>
      <c r="BV147" s="63" t="e">
        <f t="shared" si="198"/>
        <v>#N/A</v>
      </c>
      <c r="BW147" s="63" t="e">
        <f t="shared" si="198"/>
        <v>#N/A</v>
      </c>
      <c r="BX147" s="63" t="e">
        <f t="shared" si="198"/>
        <v>#N/A</v>
      </c>
      <c r="BY147" s="63" t="e">
        <f t="shared" si="198"/>
        <v>#N/A</v>
      </c>
    </row>
    <row r="148" spans="1:77" x14ac:dyDescent="0.5">
      <c r="A148" s="49"/>
      <c r="B148" s="62">
        <v>0.16999999999999901</v>
      </c>
      <c r="C148" s="62" t="e">
        <f t="shared" si="166"/>
        <v>#DIV/0!</v>
      </c>
      <c r="D148" s="62" t="e">
        <f t="shared" si="167"/>
        <v>#DIV/0!</v>
      </c>
      <c r="E148" s="59">
        <f t="shared" si="170"/>
        <v>16.999999999999901</v>
      </c>
      <c r="F148" s="59" t="e">
        <f t="shared" si="171"/>
        <v>#DIV/0!</v>
      </c>
      <c r="G148" s="59" t="e">
        <f t="shared" si="172"/>
        <v>#DIV/0!</v>
      </c>
      <c r="H148" s="62" t="e">
        <f t="shared" si="168"/>
        <v>#DIV/0!</v>
      </c>
      <c r="I148" s="62" t="e">
        <f t="shared" si="169"/>
        <v>#DIV/0!</v>
      </c>
      <c r="J148" s="62" t="e">
        <f t="shared" si="173"/>
        <v>#DIV/0!</v>
      </c>
      <c r="K148" s="62" t="e">
        <f t="shared" si="174"/>
        <v>#DIV/0!</v>
      </c>
      <c r="L148" s="62" t="e">
        <f t="shared" si="175"/>
        <v>#DIV/0!</v>
      </c>
      <c r="M148" s="62" t="e">
        <f t="shared" si="176"/>
        <v>#DIV/0!</v>
      </c>
      <c r="N148" s="62" t="e">
        <f t="shared" si="177"/>
        <v>#DIV/0!</v>
      </c>
      <c r="O148" s="17" t="e">
        <f t="shared" si="178"/>
        <v>#DIV/0!</v>
      </c>
      <c r="Q148" s="62">
        <v>0.62</v>
      </c>
      <c r="R148" s="62" t="e">
        <f t="shared" si="189"/>
        <v>#DIV/0!</v>
      </c>
      <c r="S148" s="62" t="e">
        <f t="shared" si="190"/>
        <v>#DIV/0!</v>
      </c>
      <c r="T148" s="62" t="e">
        <f t="shared" si="191"/>
        <v>#DIV/0!</v>
      </c>
      <c r="U148" s="62" t="e">
        <f t="shared" si="192"/>
        <v>#DIV/0!</v>
      </c>
      <c r="V148" s="62" t="e">
        <f t="shared" si="193"/>
        <v>#DIV/0!</v>
      </c>
      <c r="W148" s="59" t="e">
        <f t="shared" ref="W148:W151" si="201">ROUND(SLOPE(T143:T153,U143:U153),0)</f>
        <v>#DIV/0!</v>
      </c>
      <c r="X148" s="101" t="e">
        <f t="shared" si="196"/>
        <v>#DIV/0!</v>
      </c>
      <c r="Y148" s="104"/>
      <c r="AA148" s="62" t="e">
        <f t="shared" si="162"/>
        <v>#DIV/0!</v>
      </c>
      <c r="AN148" s="55"/>
    </row>
    <row r="149" spans="1:77" x14ac:dyDescent="0.5">
      <c r="A149" s="49"/>
      <c r="B149" s="62">
        <v>0.159999999999999</v>
      </c>
      <c r="C149" s="62" t="e">
        <f t="shared" si="166"/>
        <v>#DIV/0!</v>
      </c>
      <c r="D149" s="62" t="e">
        <f t="shared" si="167"/>
        <v>#DIV/0!</v>
      </c>
      <c r="E149" s="59">
        <f t="shared" si="170"/>
        <v>15.999999999999901</v>
      </c>
      <c r="F149" s="59" t="e">
        <f t="shared" si="171"/>
        <v>#DIV/0!</v>
      </c>
      <c r="G149" s="59" t="e">
        <f t="shared" si="172"/>
        <v>#DIV/0!</v>
      </c>
      <c r="H149" s="62" t="e">
        <f t="shared" si="168"/>
        <v>#DIV/0!</v>
      </c>
      <c r="I149" s="62" t="e">
        <f t="shared" si="169"/>
        <v>#DIV/0!</v>
      </c>
      <c r="J149" s="62" t="e">
        <f t="shared" si="173"/>
        <v>#DIV/0!</v>
      </c>
      <c r="K149" s="62" t="e">
        <f t="shared" si="174"/>
        <v>#DIV/0!</v>
      </c>
      <c r="L149" s="62" t="e">
        <f t="shared" si="175"/>
        <v>#DIV/0!</v>
      </c>
      <c r="M149" s="62" t="e">
        <f t="shared" si="176"/>
        <v>#DIV/0!</v>
      </c>
      <c r="N149" s="62" t="e">
        <f t="shared" si="177"/>
        <v>#DIV/0!</v>
      </c>
      <c r="O149" s="17" t="e">
        <f t="shared" si="178"/>
        <v>#DIV/0!</v>
      </c>
      <c r="Q149" s="62">
        <v>0.61</v>
      </c>
      <c r="R149" s="62" t="e">
        <f t="shared" si="189"/>
        <v>#DIV/0!</v>
      </c>
      <c r="S149" s="62" t="e">
        <f t="shared" si="190"/>
        <v>#DIV/0!</v>
      </c>
      <c r="T149" s="62" t="e">
        <f t="shared" si="191"/>
        <v>#DIV/0!</v>
      </c>
      <c r="U149" s="62" t="e">
        <f t="shared" si="192"/>
        <v>#DIV/0!</v>
      </c>
      <c r="V149" s="62" t="e">
        <f t="shared" si="193"/>
        <v>#DIV/0!</v>
      </c>
      <c r="W149" s="59" t="e">
        <f t="shared" si="201"/>
        <v>#DIV/0!</v>
      </c>
      <c r="X149" s="101" t="e">
        <f t="shared" si="196"/>
        <v>#DIV/0!</v>
      </c>
      <c r="Y149" s="104"/>
      <c r="AA149" s="62" t="e">
        <f t="shared" si="162"/>
        <v>#DIV/0!</v>
      </c>
      <c r="AN149" s="55"/>
      <c r="AP149" s="53" t="s">
        <v>81</v>
      </c>
      <c r="BI149" s="53" t="s">
        <v>81</v>
      </c>
    </row>
    <row r="150" spans="1:77" x14ac:dyDescent="0.5">
      <c r="A150" s="49"/>
      <c r="B150" s="62">
        <v>0.149999999999999</v>
      </c>
      <c r="C150" s="62" t="e">
        <f t="shared" si="166"/>
        <v>#DIV/0!</v>
      </c>
      <c r="D150" s="62" t="e">
        <f t="shared" si="167"/>
        <v>#DIV/0!</v>
      </c>
      <c r="E150" s="59">
        <f t="shared" si="170"/>
        <v>14.999999999999899</v>
      </c>
      <c r="F150" s="59" t="e">
        <f t="shared" si="171"/>
        <v>#DIV/0!</v>
      </c>
      <c r="G150" s="59" t="e">
        <f t="shared" si="172"/>
        <v>#DIV/0!</v>
      </c>
      <c r="H150" s="62" t="e">
        <f t="shared" si="168"/>
        <v>#DIV/0!</v>
      </c>
      <c r="I150" s="62" t="e">
        <f t="shared" si="169"/>
        <v>#DIV/0!</v>
      </c>
      <c r="J150" s="62" t="e">
        <f t="shared" si="173"/>
        <v>#DIV/0!</v>
      </c>
      <c r="K150" s="62" t="e">
        <f t="shared" si="174"/>
        <v>#DIV/0!</v>
      </c>
      <c r="L150" s="62" t="e">
        <f t="shared" si="175"/>
        <v>#DIV/0!</v>
      </c>
      <c r="M150" s="62" t="e">
        <f t="shared" si="176"/>
        <v>#DIV/0!</v>
      </c>
      <c r="N150" s="62" t="e">
        <f t="shared" si="177"/>
        <v>#DIV/0!</v>
      </c>
      <c r="O150" s="17" t="e">
        <f t="shared" si="178"/>
        <v>#DIV/0!</v>
      </c>
      <c r="Q150" s="62">
        <v>0.6</v>
      </c>
      <c r="R150" s="62" t="e">
        <f t="shared" si="189"/>
        <v>#DIV/0!</v>
      </c>
      <c r="S150" s="62" t="e">
        <f t="shared" si="190"/>
        <v>#DIV/0!</v>
      </c>
      <c r="T150" s="62" t="e">
        <f t="shared" si="191"/>
        <v>#DIV/0!</v>
      </c>
      <c r="U150" s="62" t="e">
        <f t="shared" si="192"/>
        <v>#DIV/0!</v>
      </c>
      <c r="V150" s="62" t="e">
        <f t="shared" si="193"/>
        <v>#DIV/0!</v>
      </c>
      <c r="W150" s="59" t="e">
        <f t="shared" si="201"/>
        <v>#DIV/0!</v>
      </c>
      <c r="X150" s="101" t="e">
        <f t="shared" si="196"/>
        <v>#DIV/0!</v>
      </c>
      <c r="Y150" s="104"/>
      <c r="AA150" s="62" t="e">
        <f t="shared" si="162"/>
        <v>#DIV/0!</v>
      </c>
      <c r="AN150" s="55"/>
      <c r="AP150" s="59" t="s">
        <v>82</v>
      </c>
      <c r="AQ150" s="62"/>
      <c r="AR150" s="63" t="str">
        <f>IF(AR$16=1,AR10,"")</f>
        <v/>
      </c>
      <c r="AS150" s="63" t="str">
        <f t="shared" ref="AS150:BF150" si="202">IF(AS$16=1,AS10,"")</f>
        <v/>
      </c>
      <c r="AT150" s="63" t="str">
        <f t="shared" si="202"/>
        <v/>
      </c>
      <c r="AU150" s="63" t="str">
        <f t="shared" si="202"/>
        <v/>
      </c>
      <c r="AV150" s="63" t="str">
        <f t="shared" si="202"/>
        <v/>
      </c>
      <c r="AW150" s="63" t="str">
        <f t="shared" si="202"/>
        <v/>
      </c>
      <c r="AX150" s="63" t="str">
        <f t="shared" si="202"/>
        <v/>
      </c>
      <c r="AY150" s="63" t="str">
        <f t="shared" si="202"/>
        <v/>
      </c>
      <c r="AZ150" s="63" t="str">
        <f t="shared" si="202"/>
        <v/>
      </c>
      <c r="BA150" s="63" t="str">
        <f t="shared" si="202"/>
        <v/>
      </c>
      <c r="BB150" s="63" t="str">
        <f t="shared" si="202"/>
        <v/>
      </c>
      <c r="BC150" s="63" t="str">
        <f t="shared" si="202"/>
        <v/>
      </c>
      <c r="BD150" s="63" t="str">
        <f t="shared" si="202"/>
        <v/>
      </c>
      <c r="BE150" s="63" t="str">
        <f t="shared" si="202"/>
        <v/>
      </c>
      <c r="BF150" s="63" t="str">
        <f t="shared" si="202"/>
        <v/>
      </c>
      <c r="BI150" s="59" t="s">
        <v>82</v>
      </c>
      <c r="BJ150" s="59"/>
      <c r="BK150" s="63" t="e">
        <f t="shared" ref="BK150:BY150" si="203">IF(AR$16=1,AR10,NA())</f>
        <v>#N/A</v>
      </c>
      <c r="BL150" s="63" t="e">
        <f t="shared" si="203"/>
        <v>#N/A</v>
      </c>
      <c r="BM150" s="63" t="e">
        <f t="shared" si="203"/>
        <v>#N/A</v>
      </c>
      <c r="BN150" s="63" t="e">
        <f t="shared" si="203"/>
        <v>#N/A</v>
      </c>
      <c r="BO150" s="63" t="e">
        <f t="shared" si="203"/>
        <v>#N/A</v>
      </c>
      <c r="BP150" s="63" t="e">
        <f t="shared" si="203"/>
        <v>#N/A</v>
      </c>
      <c r="BQ150" s="63" t="e">
        <f t="shared" si="203"/>
        <v>#N/A</v>
      </c>
      <c r="BR150" s="63" t="e">
        <f t="shared" si="203"/>
        <v>#N/A</v>
      </c>
      <c r="BS150" s="63" t="e">
        <f t="shared" si="203"/>
        <v>#N/A</v>
      </c>
      <c r="BT150" s="63" t="e">
        <f t="shared" si="203"/>
        <v>#N/A</v>
      </c>
      <c r="BU150" s="63" t="e">
        <f t="shared" si="203"/>
        <v>#N/A</v>
      </c>
      <c r="BV150" s="63" t="e">
        <f t="shared" si="203"/>
        <v>#N/A</v>
      </c>
      <c r="BW150" s="63" t="e">
        <f t="shared" si="203"/>
        <v>#N/A</v>
      </c>
      <c r="BX150" s="63" t="e">
        <f t="shared" si="203"/>
        <v>#N/A</v>
      </c>
      <c r="BY150" s="63" t="e">
        <f t="shared" si="203"/>
        <v>#N/A</v>
      </c>
    </row>
    <row r="151" spans="1:77" x14ac:dyDescent="0.5">
      <c r="A151" s="49"/>
      <c r="B151" s="62">
        <v>0.13999999999999899</v>
      </c>
      <c r="C151" s="62" t="e">
        <f t="shared" si="166"/>
        <v>#DIV/0!</v>
      </c>
      <c r="D151" s="62" t="e">
        <f t="shared" si="167"/>
        <v>#DIV/0!</v>
      </c>
      <c r="E151" s="59">
        <f t="shared" si="170"/>
        <v>13.999999999999899</v>
      </c>
      <c r="F151" s="59" t="e">
        <f t="shared" si="171"/>
        <v>#DIV/0!</v>
      </c>
      <c r="G151" s="59" t="e">
        <f t="shared" si="172"/>
        <v>#DIV/0!</v>
      </c>
      <c r="H151" s="62" t="e">
        <f t="shared" si="168"/>
        <v>#DIV/0!</v>
      </c>
      <c r="I151" s="62" t="e">
        <f t="shared" si="169"/>
        <v>#DIV/0!</v>
      </c>
      <c r="J151" s="62" t="e">
        <f t="shared" si="173"/>
        <v>#DIV/0!</v>
      </c>
      <c r="K151" s="62" t="e">
        <f t="shared" si="174"/>
        <v>#DIV/0!</v>
      </c>
      <c r="L151" s="62" t="e">
        <f t="shared" si="175"/>
        <v>#DIV/0!</v>
      </c>
      <c r="M151" s="62" t="e">
        <f t="shared" si="176"/>
        <v>#DIV/0!</v>
      </c>
      <c r="N151" s="62" t="e">
        <f t="shared" si="177"/>
        <v>#DIV/0!</v>
      </c>
      <c r="O151" s="17" t="e">
        <f t="shared" si="178"/>
        <v>#DIV/0!</v>
      </c>
      <c r="Q151" s="62">
        <v>0.59</v>
      </c>
      <c r="R151" s="62" t="e">
        <f t="shared" si="189"/>
        <v>#DIV/0!</v>
      </c>
      <c r="S151" s="62" t="e">
        <f t="shared" si="190"/>
        <v>#DIV/0!</v>
      </c>
      <c r="T151" s="62" t="e">
        <f t="shared" si="191"/>
        <v>#DIV/0!</v>
      </c>
      <c r="U151" s="62" t="e">
        <f t="shared" si="192"/>
        <v>#DIV/0!</v>
      </c>
      <c r="V151" s="62" t="e">
        <f t="shared" si="193"/>
        <v>#DIV/0!</v>
      </c>
      <c r="W151" s="59" t="e">
        <f t="shared" si="201"/>
        <v>#DIV/0!</v>
      </c>
      <c r="X151" s="101" t="e">
        <f t="shared" si="196"/>
        <v>#DIV/0!</v>
      </c>
      <c r="Y151" s="104"/>
      <c r="AA151" s="62" t="e">
        <f t="shared" si="162"/>
        <v>#DIV/0!</v>
      </c>
      <c r="AN151" s="55"/>
      <c r="AP151" s="59" t="s">
        <v>83</v>
      </c>
      <c r="AQ151" s="62"/>
      <c r="AR151" s="63" t="str">
        <f>IF(AR$16=1,AR136,"")</f>
        <v/>
      </c>
      <c r="AS151" s="63" t="str">
        <f>IF(AS$16=1,AS136,"")</f>
        <v/>
      </c>
      <c r="AT151" s="63" t="str">
        <f t="shared" ref="AT151:AZ151" si="204">IF(AT$16=1,AT136,"")</f>
        <v/>
      </c>
      <c r="AU151" s="63" t="str">
        <f t="shared" si="204"/>
        <v/>
      </c>
      <c r="AV151" s="63" t="str">
        <f t="shared" si="204"/>
        <v/>
      </c>
      <c r="AW151" s="63" t="str">
        <f t="shared" si="204"/>
        <v/>
      </c>
      <c r="AX151" s="63" t="str">
        <f t="shared" si="204"/>
        <v/>
      </c>
      <c r="AY151" s="63" t="str">
        <f t="shared" si="204"/>
        <v/>
      </c>
      <c r="AZ151" s="63" t="str">
        <f t="shared" si="204"/>
        <v/>
      </c>
      <c r="BA151" s="63" t="str">
        <f t="shared" ref="BA151:BF151" si="205">IF(BA$16=1,BA136,"")</f>
        <v/>
      </c>
      <c r="BB151" s="63" t="str">
        <f t="shared" si="205"/>
        <v/>
      </c>
      <c r="BC151" s="63" t="str">
        <f t="shared" si="205"/>
        <v/>
      </c>
      <c r="BD151" s="63" t="str">
        <f t="shared" si="205"/>
        <v/>
      </c>
      <c r="BE151" s="63" t="str">
        <f t="shared" si="205"/>
        <v/>
      </c>
      <c r="BF151" s="63" t="str">
        <f t="shared" si="205"/>
        <v/>
      </c>
      <c r="BI151" s="59" t="s">
        <v>83</v>
      </c>
      <c r="BJ151" s="59"/>
      <c r="BK151" s="63" t="e">
        <f t="shared" ref="BK151:BS151" si="206">IF(AR$16=1,AR136,NA())</f>
        <v>#N/A</v>
      </c>
      <c r="BL151" s="63" t="e">
        <f t="shared" si="206"/>
        <v>#N/A</v>
      </c>
      <c r="BM151" s="63" t="e">
        <f t="shared" si="206"/>
        <v>#N/A</v>
      </c>
      <c r="BN151" s="63" t="e">
        <f t="shared" si="206"/>
        <v>#N/A</v>
      </c>
      <c r="BO151" s="63" t="e">
        <f t="shared" si="206"/>
        <v>#N/A</v>
      </c>
      <c r="BP151" s="63" t="e">
        <f t="shared" si="206"/>
        <v>#N/A</v>
      </c>
      <c r="BQ151" s="63" t="e">
        <f t="shared" si="206"/>
        <v>#N/A</v>
      </c>
      <c r="BR151" s="63" t="e">
        <f t="shared" si="206"/>
        <v>#N/A</v>
      </c>
      <c r="BS151" s="63" t="e">
        <f t="shared" si="206"/>
        <v>#N/A</v>
      </c>
      <c r="BT151" s="63" t="e">
        <f t="shared" ref="BT151:BY151" si="207">IF(BA$16=1,BA136,NA())</f>
        <v>#N/A</v>
      </c>
      <c r="BU151" s="63" t="e">
        <f t="shared" si="207"/>
        <v>#N/A</v>
      </c>
      <c r="BV151" s="63" t="e">
        <f t="shared" si="207"/>
        <v>#N/A</v>
      </c>
      <c r="BW151" s="63" t="e">
        <f t="shared" si="207"/>
        <v>#N/A</v>
      </c>
      <c r="BX151" s="63" t="e">
        <f t="shared" si="207"/>
        <v>#N/A</v>
      </c>
      <c r="BY151" s="63" t="e">
        <f t="shared" si="207"/>
        <v>#N/A</v>
      </c>
    </row>
    <row r="152" spans="1:77" x14ac:dyDescent="0.5">
      <c r="A152" s="49"/>
      <c r="B152" s="62">
        <v>0.12999999999999901</v>
      </c>
      <c r="C152" s="62" t="e">
        <f t="shared" si="166"/>
        <v>#DIV/0!</v>
      </c>
      <c r="D152" s="62" t="e">
        <f t="shared" si="167"/>
        <v>#DIV/0!</v>
      </c>
      <c r="E152" s="59">
        <f t="shared" si="170"/>
        <v>12.999999999999901</v>
      </c>
      <c r="F152" s="59" t="e">
        <f t="shared" si="171"/>
        <v>#DIV/0!</v>
      </c>
      <c r="G152" s="59" t="e">
        <f t="shared" si="172"/>
        <v>#DIV/0!</v>
      </c>
      <c r="H152" s="62" t="e">
        <f t="shared" si="168"/>
        <v>#DIV/0!</v>
      </c>
      <c r="I152" s="62" t="e">
        <f t="shared" si="169"/>
        <v>#DIV/0!</v>
      </c>
      <c r="J152" s="62" t="e">
        <f t="shared" si="173"/>
        <v>#DIV/0!</v>
      </c>
      <c r="K152" s="62" t="e">
        <f t="shared" si="174"/>
        <v>#DIV/0!</v>
      </c>
      <c r="L152" s="62" t="e">
        <f t="shared" si="175"/>
        <v>#DIV/0!</v>
      </c>
      <c r="M152" s="62" t="e">
        <f t="shared" si="176"/>
        <v>#DIV/0!</v>
      </c>
      <c r="N152" s="62" t="e">
        <f t="shared" si="177"/>
        <v>#DIV/0!</v>
      </c>
      <c r="O152" s="17" t="e">
        <f t="shared" si="178"/>
        <v>#DIV/0!</v>
      </c>
      <c r="Q152" s="62">
        <v>0.57999999999999996</v>
      </c>
      <c r="R152" s="62" t="e">
        <f t="shared" si="189"/>
        <v>#DIV/0!</v>
      </c>
      <c r="S152" s="62" t="e">
        <f t="shared" si="190"/>
        <v>#DIV/0!</v>
      </c>
      <c r="T152" s="62" t="e">
        <f t="shared" si="191"/>
        <v>#DIV/0!</v>
      </c>
      <c r="U152" s="62" t="e">
        <f t="shared" si="192"/>
        <v>#DIV/0!</v>
      </c>
      <c r="V152" s="62" t="e">
        <f t="shared" si="193"/>
        <v>#DIV/0!</v>
      </c>
      <c r="W152" s="59" t="e">
        <f t="shared" ref="W152:W183" si="208">ROUND(SLOPE(T147:T157,U147:U157),0)</f>
        <v>#DIV/0!</v>
      </c>
      <c r="X152" s="101" t="e">
        <f t="shared" si="196"/>
        <v>#DIV/0!</v>
      </c>
      <c r="Y152" s="104"/>
      <c r="AA152" s="62" t="e">
        <f t="shared" si="162"/>
        <v>#DIV/0!</v>
      </c>
      <c r="AN152" s="55"/>
      <c r="AP152" s="59" t="s">
        <v>84</v>
      </c>
      <c r="AQ152" s="59"/>
      <c r="AR152" s="63" t="str">
        <f>IF(AR150="","",(AR150-AR151)^2)</f>
        <v/>
      </c>
      <c r="AS152" s="63" t="str">
        <f t="shared" ref="AS152:AZ152" si="209">IF(AS150="","",(AS150-AS151)^2)</f>
        <v/>
      </c>
      <c r="AT152" s="63" t="str">
        <f t="shared" si="209"/>
        <v/>
      </c>
      <c r="AU152" s="63" t="str">
        <f t="shared" si="209"/>
        <v/>
      </c>
      <c r="AV152" s="63" t="str">
        <f t="shared" si="209"/>
        <v/>
      </c>
      <c r="AW152" s="63" t="str">
        <f t="shared" si="209"/>
        <v/>
      </c>
      <c r="AX152" s="63" t="str">
        <f t="shared" si="209"/>
        <v/>
      </c>
      <c r="AY152" s="63" t="str">
        <f t="shared" si="209"/>
        <v/>
      </c>
      <c r="AZ152" s="63" t="str">
        <f t="shared" si="209"/>
        <v/>
      </c>
      <c r="BA152" s="63" t="str">
        <f t="shared" ref="BA152:BF152" si="210">IF(BA150="","",(BA150-BA151)^2)</f>
        <v/>
      </c>
      <c r="BB152" s="63" t="str">
        <f t="shared" si="210"/>
        <v/>
      </c>
      <c r="BC152" s="63" t="str">
        <f t="shared" si="210"/>
        <v/>
      </c>
      <c r="BD152" s="63" t="str">
        <f t="shared" si="210"/>
        <v/>
      </c>
      <c r="BE152" s="63" t="str">
        <f t="shared" si="210"/>
        <v/>
      </c>
      <c r="BF152" s="63" t="str">
        <f t="shared" si="210"/>
        <v/>
      </c>
      <c r="BI152" s="59" t="s">
        <v>84</v>
      </c>
      <c r="BJ152" s="59"/>
      <c r="BK152" s="63" t="e">
        <f t="shared" ref="BK152:BS152" si="211">IF(AR150="",NA(),(BK150-BK151)^2)</f>
        <v>#N/A</v>
      </c>
      <c r="BL152" s="63" t="e">
        <f t="shared" si="211"/>
        <v>#N/A</v>
      </c>
      <c r="BM152" s="63" t="e">
        <f t="shared" si="211"/>
        <v>#N/A</v>
      </c>
      <c r="BN152" s="63" t="e">
        <f t="shared" si="211"/>
        <v>#N/A</v>
      </c>
      <c r="BO152" s="63" t="e">
        <f t="shared" si="211"/>
        <v>#N/A</v>
      </c>
      <c r="BP152" s="63" t="e">
        <f t="shared" si="211"/>
        <v>#N/A</v>
      </c>
      <c r="BQ152" s="63" t="e">
        <f t="shared" si="211"/>
        <v>#N/A</v>
      </c>
      <c r="BR152" s="63" t="e">
        <f t="shared" si="211"/>
        <v>#N/A</v>
      </c>
      <c r="BS152" s="63" t="e">
        <f t="shared" si="211"/>
        <v>#N/A</v>
      </c>
      <c r="BT152" s="63" t="e">
        <f t="shared" ref="BT152:BY152" si="212">IF(BA150="",NA(),(BT150-BT151)^2)</f>
        <v>#N/A</v>
      </c>
      <c r="BU152" s="63" t="e">
        <f t="shared" si="212"/>
        <v>#N/A</v>
      </c>
      <c r="BV152" s="63" t="e">
        <f t="shared" si="212"/>
        <v>#N/A</v>
      </c>
      <c r="BW152" s="63" t="e">
        <f t="shared" si="212"/>
        <v>#N/A</v>
      </c>
      <c r="BX152" s="63" t="e">
        <f t="shared" si="212"/>
        <v>#N/A</v>
      </c>
      <c r="BY152" s="63" t="e">
        <f t="shared" si="212"/>
        <v>#N/A</v>
      </c>
    </row>
    <row r="153" spans="1:77" x14ac:dyDescent="0.5">
      <c r="A153" s="49"/>
      <c r="B153" s="62">
        <v>0.119999999999999</v>
      </c>
      <c r="C153" s="62" t="e">
        <f t="shared" ref="C153:C156" si="213">I153/$U$66</f>
        <v>#DIV/0!</v>
      </c>
      <c r="D153" s="62" t="e">
        <f t="shared" ref="D153:D156" si="214">L153/$U$67</f>
        <v>#DIV/0!</v>
      </c>
      <c r="E153" s="59">
        <f t="shared" ref="E153:E156" si="215">B153*100</f>
        <v>11.999999999999901</v>
      </c>
      <c r="F153" s="59" t="e">
        <f t="shared" ref="F153:F156" si="216">C153*100</f>
        <v>#DIV/0!</v>
      </c>
      <c r="G153" s="59" t="e">
        <f t="shared" ref="G153:G156" si="217">D153*100</f>
        <v>#DIV/0!</v>
      </c>
      <c r="H153" s="62" t="e">
        <f t="shared" si="168"/>
        <v>#DIV/0!</v>
      </c>
      <c r="I153" s="62" t="e">
        <f t="shared" si="169"/>
        <v>#DIV/0!</v>
      </c>
      <c r="J153" s="62" t="e">
        <f t="shared" ref="J153:J156" si="218">I153-$AP$4</f>
        <v>#DIV/0!</v>
      </c>
      <c r="K153" s="62" t="e">
        <f t="shared" ref="K153:K156" si="219">I153+$AP$4</f>
        <v>#DIV/0!</v>
      </c>
      <c r="L153" s="62" t="e">
        <f t="shared" ref="L153:L156" si="220">H153*I153</f>
        <v>#DIV/0!</v>
      </c>
      <c r="M153" s="62" t="e">
        <f t="shared" ref="M153:M156" si="221">J153*H153</f>
        <v>#DIV/0!</v>
      </c>
      <c r="N153" s="62" t="e">
        <f t="shared" ref="N153:N156" si="222">K153*H153</f>
        <v>#DIV/0!</v>
      </c>
      <c r="O153" s="17" t="e">
        <f t="shared" si="178"/>
        <v>#DIV/0!</v>
      </c>
      <c r="Q153" s="62">
        <v>0.56999999999999995</v>
      </c>
      <c r="R153" s="62" t="e">
        <f t="shared" si="189"/>
        <v>#DIV/0!</v>
      </c>
      <c r="S153" s="62" t="e">
        <f t="shared" si="190"/>
        <v>#DIV/0!</v>
      </c>
      <c r="T153" s="62" t="e">
        <f t="shared" si="191"/>
        <v>#DIV/0!</v>
      </c>
      <c r="U153" s="62" t="e">
        <f t="shared" si="192"/>
        <v>#DIV/0!</v>
      </c>
      <c r="V153" s="62" t="e">
        <f t="shared" si="193"/>
        <v>#DIV/0!</v>
      </c>
      <c r="W153" s="59" t="e">
        <f t="shared" si="208"/>
        <v>#DIV/0!</v>
      </c>
      <c r="X153" s="101" t="e">
        <f t="shared" si="196"/>
        <v>#DIV/0!</v>
      </c>
      <c r="Y153" s="104"/>
      <c r="AA153" s="62" t="e">
        <f t="shared" ref="AA153:AA156" si="223">((($AT$116-T153)*$AT$118)/(T153+$AT$117))</f>
        <v>#DIV/0!</v>
      </c>
      <c r="AN153" s="55"/>
    </row>
    <row r="154" spans="1:77" x14ac:dyDescent="0.5">
      <c r="A154" s="49"/>
      <c r="B154" s="62">
        <v>0.109999999999999</v>
      </c>
      <c r="C154" s="62" t="e">
        <f t="shared" si="213"/>
        <v>#DIV/0!</v>
      </c>
      <c r="D154" s="62" t="e">
        <f t="shared" si="214"/>
        <v>#DIV/0!</v>
      </c>
      <c r="E154" s="59">
        <f t="shared" si="215"/>
        <v>10.999999999999901</v>
      </c>
      <c r="F154" s="59" t="e">
        <f t="shared" si="216"/>
        <v>#DIV/0!</v>
      </c>
      <c r="G154" s="59" t="e">
        <f t="shared" si="217"/>
        <v>#DIV/0!</v>
      </c>
      <c r="H154" s="62" t="e">
        <f t="shared" si="168"/>
        <v>#DIV/0!</v>
      </c>
      <c r="I154" s="62" t="e">
        <f t="shared" si="169"/>
        <v>#DIV/0!</v>
      </c>
      <c r="J154" s="62" t="e">
        <f t="shared" si="218"/>
        <v>#DIV/0!</v>
      </c>
      <c r="K154" s="62" t="e">
        <f t="shared" si="219"/>
        <v>#DIV/0!</v>
      </c>
      <c r="L154" s="62" t="e">
        <f t="shared" si="220"/>
        <v>#DIV/0!</v>
      </c>
      <c r="M154" s="62" t="e">
        <f t="shared" si="221"/>
        <v>#DIV/0!</v>
      </c>
      <c r="N154" s="62" t="e">
        <f t="shared" si="222"/>
        <v>#DIV/0!</v>
      </c>
      <c r="O154" s="17" t="e">
        <f t="shared" si="178"/>
        <v>#DIV/0!</v>
      </c>
      <c r="Q154" s="62">
        <v>0.56000000000000005</v>
      </c>
      <c r="R154" s="62" t="e">
        <f t="shared" si="189"/>
        <v>#DIV/0!</v>
      </c>
      <c r="S154" s="62" t="e">
        <f t="shared" si="190"/>
        <v>#DIV/0!</v>
      </c>
      <c r="T154" s="62" t="e">
        <f t="shared" si="191"/>
        <v>#DIV/0!</v>
      </c>
      <c r="U154" s="62" t="e">
        <f t="shared" si="192"/>
        <v>#DIV/0!</v>
      </c>
      <c r="V154" s="62" t="e">
        <f t="shared" si="193"/>
        <v>#DIV/0!</v>
      </c>
      <c r="W154" s="59" t="e">
        <f t="shared" si="208"/>
        <v>#DIV/0!</v>
      </c>
      <c r="X154" s="101" t="e">
        <f t="shared" si="196"/>
        <v>#DIV/0!</v>
      </c>
      <c r="Y154" s="104"/>
      <c r="AA154" s="62" t="e">
        <f t="shared" si="223"/>
        <v>#DIV/0!</v>
      </c>
      <c r="AN154" s="55"/>
      <c r="AP154" s="59" t="s">
        <v>165</v>
      </c>
      <c r="AQ154" s="59"/>
      <c r="AR154" s="63" t="str">
        <f>IF(AR$16=1,AR110/$AT$119,"")</f>
        <v/>
      </c>
      <c r="AS154" s="63" t="str">
        <f t="shared" ref="AS154:BC154" si="224">IF(AS$16=1,AS110/$AT$119,"")</f>
        <v/>
      </c>
      <c r="AT154" s="63" t="str">
        <f t="shared" si="224"/>
        <v/>
      </c>
      <c r="AU154" s="63" t="str">
        <f t="shared" si="224"/>
        <v/>
      </c>
      <c r="AV154" s="63" t="str">
        <f t="shared" si="224"/>
        <v/>
      </c>
      <c r="AW154" s="63" t="str">
        <f t="shared" si="224"/>
        <v/>
      </c>
      <c r="AX154" s="63" t="str">
        <f t="shared" si="224"/>
        <v/>
      </c>
      <c r="AY154" s="63" t="str">
        <f t="shared" si="224"/>
        <v/>
      </c>
      <c r="AZ154" s="63" t="str">
        <f t="shared" si="224"/>
        <v/>
      </c>
      <c r="BA154" s="63" t="str">
        <f t="shared" si="224"/>
        <v/>
      </c>
      <c r="BB154" s="63" t="str">
        <f t="shared" si="224"/>
        <v/>
      </c>
      <c r="BC154" s="63" t="str">
        <f t="shared" si="224"/>
        <v/>
      </c>
      <c r="BD154" s="63" t="str">
        <f t="shared" ref="BD154:BF154" si="225">IF(BD$16=1,BD110,"")</f>
        <v/>
      </c>
      <c r="BE154" s="63" t="str">
        <f t="shared" si="225"/>
        <v/>
      </c>
      <c r="BF154" s="63" t="str">
        <f t="shared" si="225"/>
        <v/>
      </c>
    </row>
    <row r="155" spans="1:77" x14ac:dyDescent="0.5">
      <c r="A155" s="49"/>
      <c r="B155" s="62">
        <v>9.9999999999999006E-2</v>
      </c>
      <c r="C155" s="62" t="e">
        <f t="shared" si="213"/>
        <v>#DIV/0!</v>
      </c>
      <c r="D155" s="62" t="e">
        <f t="shared" si="214"/>
        <v>#DIV/0!</v>
      </c>
      <c r="E155" s="59">
        <f t="shared" si="215"/>
        <v>9.9999999999999005</v>
      </c>
      <c r="F155" s="59" t="e">
        <f t="shared" si="216"/>
        <v>#DIV/0!</v>
      </c>
      <c r="G155" s="59" t="e">
        <f t="shared" si="217"/>
        <v>#DIV/0!</v>
      </c>
      <c r="H155" s="62" t="e">
        <f t="shared" si="168"/>
        <v>#DIV/0!</v>
      </c>
      <c r="I155" s="62" t="e">
        <f t="shared" si="169"/>
        <v>#DIV/0!</v>
      </c>
      <c r="J155" s="62" t="e">
        <f t="shared" si="218"/>
        <v>#DIV/0!</v>
      </c>
      <c r="K155" s="62" t="e">
        <f t="shared" si="219"/>
        <v>#DIV/0!</v>
      </c>
      <c r="L155" s="62" t="e">
        <f t="shared" si="220"/>
        <v>#DIV/0!</v>
      </c>
      <c r="M155" s="62" t="e">
        <f t="shared" si="221"/>
        <v>#DIV/0!</v>
      </c>
      <c r="N155" s="62" t="e">
        <f t="shared" si="222"/>
        <v>#DIV/0!</v>
      </c>
      <c r="O155" s="17" t="e">
        <f t="shared" si="178"/>
        <v>#DIV/0!</v>
      </c>
      <c r="Q155" s="62">
        <v>0.55000000000000004</v>
      </c>
      <c r="R155" s="62" t="e">
        <f t="shared" si="189"/>
        <v>#DIV/0!</v>
      </c>
      <c r="S155" s="62" t="e">
        <f t="shared" si="190"/>
        <v>#DIV/0!</v>
      </c>
      <c r="T155" s="62" t="e">
        <f t="shared" si="191"/>
        <v>#DIV/0!</v>
      </c>
      <c r="U155" s="62" t="e">
        <f t="shared" si="192"/>
        <v>#DIV/0!</v>
      </c>
      <c r="V155" s="62" t="e">
        <f t="shared" si="193"/>
        <v>#DIV/0!</v>
      </c>
      <c r="W155" s="59" t="e">
        <f t="shared" si="208"/>
        <v>#DIV/0!</v>
      </c>
      <c r="X155" s="101" t="e">
        <f t="shared" si="196"/>
        <v>#DIV/0!</v>
      </c>
      <c r="Y155" s="104"/>
      <c r="AA155" s="62" t="e">
        <f t="shared" si="223"/>
        <v>#DIV/0!</v>
      </c>
      <c r="AN155" s="55"/>
      <c r="AP155" s="59" t="s">
        <v>164</v>
      </c>
      <c r="AQ155" s="59"/>
      <c r="AR155" s="63" t="str">
        <f>IF(AR$16=1,((($AT$116-AR110)*$AT$118)/(AR110+$AT$117)),"")</f>
        <v/>
      </c>
      <c r="AS155" s="63" t="str">
        <f t="shared" ref="AS155:BF155" si="226">IF(AS$16=1,((($AT$116-AS110)*$AT$118)/(AS110+$AT$117)),"")</f>
        <v/>
      </c>
      <c r="AT155" s="63" t="str">
        <f t="shared" si="226"/>
        <v/>
      </c>
      <c r="AU155" s="63" t="str">
        <f t="shared" si="226"/>
        <v/>
      </c>
      <c r="AV155" s="63" t="str">
        <f t="shared" si="226"/>
        <v/>
      </c>
      <c r="AW155" s="63" t="str">
        <f t="shared" si="226"/>
        <v/>
      </c>
      <c r="AX155" s="63" t="str">
        <f t="shared" si="226"/>
        <v/>
      </c>
      <c r="AY155" s="63" t="str">
        <f t="shared" si="226"/>
        <v/>
      </c>
      <c r="AZ155" s="63" t="str">
        <f t="shared" si="226"/>
        <v/>
      </c>
      <c r="BA155" s="63" t="str">
        <f t="shared" si="226"/>
        <v/>
      </c>
      <c r="BB155" s="63" t="str">
        <f t="shared" si="226"/>
        <v/>
      </c>
      <c r="BC155" s="63" t="str">
        <f t="shared" si="226"/>
        <v/>
      </c>
      <c r="BD155" s="63" t="str">
        <f t="shared" si="226"/>
        <v/>
      </c>
      <c r="BE155" s="63" t="str">
        <f t="shared" si="226"/>
        <v/>
      </c>
      <c r="BF155" s="63" t="str">
        <f t="shared" si="226"/>
        <v/>
      </c>
    </row>
    <row r="156" spans="1:77" x14ac:dyDescent="0.5">
      <c r="A156" s="49"/>
      <c r="B156" s="62">
        <v>8.9999999999998997E-2</v>
      </c>
      <c r="C156" s="62" t="e">
        <f t="shared" si="213"/>
        <v>#DIV/0!</v>
      </c>
      <c r="D156" s="62" t="e">
        <f t="shared" si="214"/>
        <v>#DIV/0!</v>
      </c>
      <c r="E156" s="59">
        <f t="shared" si="215"/>
        <v>8.9999999999999005</v>
      </c>
      <c r="F156" s="59" t="e">
        <f t="shared" si="216"/>
        <v>#DIV/0!</v>
      </c>
      <c r="G156" s="59" t="e">
        <f t="shared" si="217"/>
        <v>#DIV/0!</v>
      </c>
      <c r="H156" s="62" t="e">
        <f t="shared" si="168"/>
        <v>#DIV/0!</v>
      </c>
      <c r="I156" s="62" t="e">
        <f t="shared" si="169"/>
        <v>#DIV/0!</v>
      </c>
      <c r="J156" s="62" t="e">
        <f t="shared" si="218"/>
        <v>#DIV/0!</v>
      </c>
      <c r="K156" s="62" t="e">
        <f t="shared" si="219"/>
        <v>#DIV/0!</v>
      </c>
      <c r="L156" s="62" t="e">
        <f t="shared" si="220"/>
        <v>#DIV/0!</v>
      </c>
      <c r="M156" s="62" t="e">
        <f t="shared" si="221"/>
        <v>#DIV/0!</v>
      </c>
      <c r="N156" s="62" t="e">
        <f t="shared" si="222"/>
        <v>#DIV/0!</v>
      </c>
      <c r="O156" s="17" t="e">
        <f t="shared" si="178"/>
        <v>#DIV/0!</v>
      </c>
      <c r="Q156" s="62">
        <v>0.54</v>
      </c>
      <c r="R156" s="62" t="e">
        <f t="shared" si="189"/>
        <v>#DIV/0!</v>
      </c>
      <c r="S156" s="62" t="e">
        <f t="shared" si="190"/>
        <v>#DIV/0!</v>
      </c>
      <c r="T156" s="62" t="e">
        <f t="shared" si="191"/>
        <v>#DIV/0!</v>
      </c>
      <c r="U156" s="62" t="e">
        <f t="shared" si="192"/>
        <v>#DIV/0!</v>
      </c>
      <c r="V156" s="62" t="e">
        <f t="shared" si="193"/>
        <v>#DIV/0!</v>
      </c>
      <c r="W156" s="59" t="e">
        <f t="shared" si="208"/>
        <v>#DIV/0!</v>
      </c>
      <c r="X156" s="101" t="e">
        <f t="shared" si="196"/>
        <v>#DIV/0!</v>
      </c>
      <c r="Y156" s="104"/>
      <c r="AA156" s="62" t="e">
        <f t="shared" si="223"/>
        <v>#DIV/0!</v>
      </c>
      <c r="AN156" s="55"/>
      <c r="AP156" s="59" t="s">
        <v>84</v>
      </c>
      <c r="AQ156" s="59"/>
      <c r="AR156" s="63" t="str">
        <f>IF(AR150="","",IF(AR154&lt;$AV$126,(AR150-AR155)^2,""))</f>
        <v/>
      </c>
      <c r="AS156" s="63" t="str">
        <f>IF(AS150="","",IF(AS154&lt;$AV$126,(AS150-AS155)^2,""))</f>
        <v/>
      </c>
      <c r="AT156" s="63" t="str">
        <f t="shared" ref="AT156:BF156" si="227">IF(AT150="","",IF(AT154&lt;$AV$126,(AT150-AT155)^2,""))</f>
        <v/>
      </c>
      <c r="AU156" s="63" t="str">
        <f t="shared" si="227"/>
        <v/>
      </c>
      <c r="AV156" s="63" t="str">
        <f t="shared" si="227"/>
        <v/>
      </c>
      <c r="AW156" s="63" t="str">
        <f t="shared" si="227"/>
        <v/>
      </c>
      <c r="AX156" s="63" t="str">
        <f t="shared" si="227"/>
        <v/>
      </c>
      <c r="AY156" s="63" t="str">
        <f t="shared" si="227"/>
        <v/>
      </c>
      <c r="AZ156" s="63" t="str">
        <f t="shared" si="227"/>
        <v/>
      </c>
      <c r="BA156" s="63" t="str">
        <f t="shared" si="227"/>
        <v/>
      </c>
      <c r="BB156" s="63" t="str">
        <f t="shared" si="227"/>
        <v/>
      </c>
      <c r="BC156" s="63" t="str">
        <f t="shared" si="227"/>
        <v/>
      </c>
      <c r="BD156" s="63" t="str">
        <f t="shared" si="227"/>
        <v/>
      </c>
      <c r="BE156" s="63" t="str">
        <f t="shared" si="227"/>
        <v/>
      </c>
      <c r="BF156" s="63" t="str">
        <f t="shared" si="227"/>
        <v/>
      </c>
    </row>
    <row r="157" spans="1:77" x14ac:dyDescent="0.5">
      <c r="A157" s="49"/>
      <c r="B157" s="62">
        <v>7.9999999999999002E-2</v>
      </c>
      <c r="C157" s="62" t="e">
        <f t="shared" ref="C157:C165" si="228">I157/$U$66</f>
        <v>#DIV/0!</v>
      </c>
      <c r="D157" s="62" t="e">
        <f t="shared" ref="D157:D165" si="229">L157/$U$67</f>
        <v>#DIV/0!</v>
      </c>
      <c r="E157" s="59">
        <f t="shared" ref="E157:E165" si="230">B157*100</f>
        <v>7.9999999999999005</v>
      </c>
      <c r="F157" s="59" t="e">
        <f t="shared" ref="F157:F165" si="231">C157*100</f>
        <v>#DIV/0!</v>
      </c>
      <c r="G157" s="59" t="e">
        <f t="shared" ref="G157:G165" si="232">D157*100</f>
        <v>#DIV/0!</v>
      </c>
      <c r="H157" s="62" t="e">
        <f t="shared" si="168"/>
        <v>#DIV/0!</v>
      </c>
      <c r="I157" s="62" t="e">
        <f t="shared" si="169"/>
        <v>#DIV/0!</v>
      </c>
      <c r="J157" s="62" t="e">
        <f t="shared" ref="J157:J165" si="233">I157-$AP$4</f>
        <v>#DIV/0!</v>
      </c>
      <c r="K157" s="62" t="e">
        <f t="shared" ref="K157:K165" si="234">I157+$AP$4</f>
        <v>#DIV/0!</v>
      </c>
      <c r="L157" s="62" t="e">
        <f t="shared" ref="L157:L165" si="235">H157*I157</f>
        <v>#DIV/0!</v>
      </c>
      <c r="M157" s="62" t="e">
        <f t="shared" ref="M157:M165" si="236">J157*H157</f>
        <v>#DIV/0!</v>
      </c>
      <c r="N157" s="62" t="e">
        <f t="shared" ref="N157:N165" si="237">K157*H157</f>
        <v>#DIV/0!</v>
      </c>
      <c r="O157" s="17" t="e">
        <f t="shared" si="178"/>
        <v>#DIV/0!</v>
      </c>
      <c r="Q157" s="62">
        <v>0.53</v>
      </c>
      <c r="R157" s="62" t="e">
        <f t="shared" ref="R157:R173" si="238">U157/$AT$124</f>
        <v>#DIV/0!</v>
      </c>
      <c r="S157" s="62" t="e">
        <f t="shared" ref="S157:S173" si="239">V157/$AT$125</f>
        <v>#DIV/0!</v>
      </c>
      <c r="T157" s="62" t="e">
        <f t="shared" ref="T157:T173" si="240">$AT$119*Q157</f>
        <v>#DIV/0!</v>
      </c>
      <c r="U157" s="62" t="e">
        <f t="shared" ref="U157:U173" si="241">(1/(1+EXP($AT$122-T157/$AT$119)^$AT$121))*((T157-$AT$119)/$AT$120)+(1/(1+EXP(T157/$AT$119-$AT$122)^$AT$121))*((($AT$116-T157)*$AT$118)/(T157+$AT$117))</f>
        <v>#DIV/0!</v>
      </c>
      <c r="V157" s="62" t="e">
        <f t="shared" ref="V157:V173" si="242">T157*U157</f>
        <v>#DIV/0!</v>
      </c>
      <c r="W157" s="59" t="e">
        <f t="shared" si="208"/>
        <v>#DIV/0!</v>
      </c>
      <c r="X157" s="101" t="e">
        <f t="shared" ref="X157:X174" si="243">ROUND(((W156-W157)/$W$110),4)</f>
        <v>#DIV/0!</v>
      </c>
      <c r="Y157" s="104"/>
      <c r="AA157" s="62" t="e">
        <f t="shared" ref="AA157:AA174" si="244">((($AT$116-T157)*$AT$118)/(T157+$AT$117))</f>
        <v>#DIV/0!</v>
      </c>
      <c r="AN157" s="55"/>
    </row>
    <row r="158" spans="1:77" x14ac:dyDescent="0.5">
      <c r="A158" s="49"/>
      <c r="B158" s="62">
        <v>6.9999999999998994E-2</v>
      </c>
      <c r="C158" s="62" t="e">
        <f t="shared" si="228"/>
        <v>#DIV/0!</v>
      </c>
      <c r="D158" s="62" t="e">
        <f t="shared" si="229"/>
        <v>#DIV/0!</v>
      </c>
      <c r="E158" s="59">
        <f t="shared" si="230"/>
        <v>6.9999999999998996</v>
      </c>
      <c r="F158" s="59" t="e">
        <f t="shared" si="231"/>
        <v>#DIV/0!</v>
      </c>
      <c r="G158" s="59" t="e">
        <f t="shared" si="232"/>
        <v>#DIV/0!</v>
      </c>
      <c r="H158" s="62" t="e">
        <f t="shared" si="168"/>
        <v>#DIV/0!</v>
      </c>
      <c r="I158" s="62" t="e">
        <f t="shared" si="169"/>
        <v>#DIV/0!</v>
      </c>
      <c r="J158" s="62" t="e">
        <f t="shared" si="233"/>
        <v>#DIV/0!</v>
      </c>
      <c r="K158" s="62" t="e">
        <f t="shared" si="234"/>
        <v>#DIV/0!</v>
      </c>
      <c r="L158" s="62" t="e">
        <f t="shared" si="235"/>
        <v>#DIV/0!</v>
      </c>
      <c r="M158" s="62" t="e">
        <f t="shared" si="236"/>
        <v>#DIV/0!</v>
      </c>
      <c r="N158" s="62" t="e">
        <f t="shared" si="237"/>
        <v>#DIV/0!</v>
      </c>
      <c r="O158" s="17" t="e">
        <f t="shared" si="178"/>
        <v>#DIV/0!</v>
      </c>
      <c r="Q158" s="62">
        <v>0.52</v>
      </c>
      <c r="R158" s="62" t="e">
        <f t="shared" si="238"/>
        <v>#DIV/0!</v>
      </c>
      <c r="S158" s="62" t="e">
        <f t="shared" si="239"/>
        <v>#DIV/0!</v>
      </c>
      <c r="T158" s="62" t="e">
        <f t="shared" si="240"/>
        <v>#DIV/0!</v>
      </c>
      <c r="U158" s="62" t="e">
        <f t="shared" si="241"/>
        <v>#DIV/0!</v>
      </c>
      <c r="V158" s="62" t="e">
        <f t="shared" si="242"/>
        <v>#DIV/0!</v>
      </c>
      <c r="W158" s="59" t="e">
        <f t="shared" si="208"/>
        <v>#DIV/0!</v>
      </c>
      <c r="X158" s="101" t="e">
        <f t="shared" si="243"/>
        <v>#DIV/0!</v>
      </c>
      <c r="Y158" s="104"/>
      <c r="AA158" s="62" t="e">
        <f t="shared" si="244"/>
        <v>#DIV/0!</v>
      </c>
      <c r="AN158" s="55"/>
      <c r="AP158" s="59" t="s">
        <v>173</v>
      </c>
      <c r="AQ158" s="62"/>
      <c r="AR158" s="62" t="str">
        <f>IF(AR$16=1,AR11,"")</f>
        <v/>
      </c>
      <c r="AS158" s="62" t="str">
        <f t="shared" ref="AS158:BF158" si="245">IF(AS$16=1,AS11,"")</f>
        <v/>
      </c>
      <c r="AT158" s="62" t="str">
        <f t="shared" si="245"/>
        <v/>
      </c>
      <c r="AU158" s="62" t="str">
        <f t="shared" si="245"/>
        <v/>
      </c>
      <c r="AV158" s="62" t="str">
        <f t="shared" si="245"/>
        <v/>
      </c>
      <c r="AW158" s="62" t="str">
        <f t="shared" si="245"/>
        <v/>
      </c>
      <c r="AX158" s="62" t="str">
        <f t="shared" si="245"/>
        <v/>
      </c>
      <c r="AY158" s="62" t="str">
        <f t="shared" si="245"/>
        <v/>
      </c>
      <c r="AZ158" s="62" t="str">
        <f t="shared" si="245"/>
        <v/>
      </c>
      <c r="BA158" s="62" t="str">
        <f t="shared" si="245"/>
        <v/>
      </c>
      <c r="BB158" s="62" t="str">
        <f t="shared" si="245"/>
        <v/>
      </c>
      <c r="BC158" s="62" t="str">
        <f t="shared" si="245"/>
        <v/>
      </c>
      <c r="BD158" s="62" t="str">
        <f t="shared" si="245"/>
        <v/>
      </c>
      <c r="BE158" s="62" t="str">
        <f t="shared" si="245"/>
        <v/>
      </c>
      <c r="BF158" s="62" t="str">
        <f t="shared" si="245"/>
        <v/>
      </c>
    </row>
    <row r="159" spans="1:77" x14ac:dyDescent="0.5">
      <c r="A159" s="49"/>
      <c r="B159" s="62">
        <v>5.9999999999999103E-2</v>
      </c>
      <c r="C159" s="62" t="e">
        <f t="shared" si="228"/>
        <v>#DIV/0!</v>
      </c>
      <c r="D159" s="62" t="e">
        <f t="shared" si="229"/>
        <v>#DIV/0!</v>
      </c>
      <c r="E159" s="59">
        <f t="shared" si="230"/>
        <v>5.9999999999999103</v>
      </c>
      <c r="F159" s="59" t="e">
        <f t="shared" si="231"/>
        <v>#DIV/0!</v>
      </c>
      <c r="G159" s="59" t="e">
        <f t="shared" si="232"/>
        <v>#DIV/0!</v>
      </c>
      <c r="H159" s="62" t="e">
        <f t="shared" si="168"/>
        <v>#DIV/0!</v>
      </c>
      <c r="I159" s="62" t="e">
        <f t="shared" si="169"/>
        <v>#DIV/0!</v>
      </c>
      <c r="J159" s="62" t="e">
        <f t="shared" si="233"/>
        <v>#DIV/0!</v>
      </c>
      <c r="K159" s="62" t="e">
        <f t="shared" si="234"/>
        <v>#DIV/0!</v>
      </c>
      <c r="L159" s="62" t="e">
        <f t="shared" si="235"/>
        <v>#DIV/0!</v>
      </c>
      <c r="M159" s="62" t="e">
        <f t="shared" si="236"/>
        <v>#DIV/0!</v>
      </c>
      <c r="N159" s="62" t="e">
        <f t="shared" si="237"/>
        <v>#DIV/0!</v>
      </c>
      <c r="O159" s="17" t="e">
        <f>SLOPE(I154:I164,E154:E164)</f>
        <v>#DIV/0!</v>
      </c>
      <c r="Q159" s="62">
        <v>0.51</v>
      </c>
      <c r="R159" s="62" t="e">
        <f t="shared" si="238"/>
        <v>#DIV/0!</v>
      </c>
      <c r="S159" s="62" t="e">
        <f t="shared" si="239"/>
        <v>#DIV/0!</v>
      </c>
      <c r="T159" s="62" t="e">
        <f t="shared" si="240"/>
        <v>#DIV/0!</v>
      </c>
      <c r="U159" s="62" t="e">
        <f t="shared" si="241"/>
        <v>#DIV/0!</v>
      </c>
      <c r="V159" s="62" t="e">
        <f t="shared" si="242"/>
        <v>#DIV/0!</v>
      </c>
      <c r="W159" s="59" t="e">
        <f t="shared" si="208"/>
        <v>#DIV/0!</v>
      </c>
      <c r="X159" s="101" t="e">
        <f t="shared" si="243"/>
        <v>#DIV/0!</v>
      </c>
      <c r="Y159" s="104"/>
      <c r="AA159" s="62" t="e">
        <f t="shared" si="244"/>
        <v>#DIV/0!</v>
      </c>
      <c r="AN159" s="55"/>
      <c r="AP159" s="59" t="s">
        <v>172</v>
      </c>
      <c r="AQ159" s="62"/>
      <c r="AR159" s="62" t="str">
        <f>IF(AR$16=1,AR140,"")</f>
        <v/>
      </c>
      <c r="AS159" s="62" t="str">
        <f t="shared" ref="AS159:BF159" si="246">IF(AS$16=1,AS140,"")</f>
        <v/>
      </c>
      <c r="AT159" s="62" t="str">
        <f t="shared" si="246"/>
        <v/>
      </c>
      <c r="AU159" s="62" t="str">
        <f t="shared" si="246"/>
        <v/>
      </c>
      <c r="AV159" s="62" t="str">
        <f t="shared" si="246"/>
        <v/>
      </c>
      <c r="AW159" s="62" t="str">
        <f t="shared" si="246"/>
        <v/>
      </c>
      <c r="AX159" s="62" t="str">
        <f t="shared" si="246"/>
        <v/>
      </c>
      <c r="AY159" s="62" t="str">
        <f t="shared" si="246"/>
        <v/>
      </c>
      <c r="AZ159" s="62" t="str">
        <f t="shared" si="246"/>
        <v/>
      </c>
      <c r="BA159" s="62" t="str">
        <f t="shared" si="246"/>
        <v/>
      </c>
      <c r="BB159" s="62" t="str">
        <f t="shared" si="246"/>
        <v/>
      </c>
      <c r="BC159" s="62" t="str">
        <f t="shared" si="246"/>
        <v/>
      </c>
      <c r="BD159" s="62" t="str">
        <f t="shared" si="246"/>
        <v/>
      </c>
      <c r="BE159" s="62" t="str">
        <f t="shared" si="246"/>
        <v/>
      </c>
      <c r="BF159" s="62" t="str">
        <f t="shared" si="246"/>
        <v/>
      </c>
    </row>
    <row r="160" spans="1:77" x14ac:dyDescent="0.5">
      <c r="A160" s="49"/>
      <c r="B160" s="62">
        <v>4.9999999999998997E-2</v>
      </c>
      <c r="C160" s="62" t="e">
        <f t="shared" si="228"/>
        <v>#DIV/0!</v>
      </c>
      <c r="D160" s="62" t="e">
        <f t="shared" si="229"/>
        <v>#DIV/0!</v>
      </c>
      <c r="E160" s="59">
        <f t="shared" si="230"/>
        <v>4.9999999999998996</v>
      </c>
      <c r="F160" s="59" t="e">
        <f t="shared" si="231"/>
        <v>#DIV/0!</v>
      </c>
      <c r="G160" s="59" t="e">
        <f t="shared" si="232"/>
        <v>#DIV/0!</v>
      </c>
      <c r="H160" s="62" t="e">
        <f t="shared" si="168"/>
        <v>#DIV/0!</v>
      </c>
      <c r="I160" s="62" t="e">
        <f t="shared" si="169"/>
        <v>#DIV/0!</v>
      </c>
      <c r="J160" s="62" t="e">
        <f t="shared" si="233"/>
        <v>#DIV/0!</v>
      </c>
      <c r="K160" s="62" t="e">
        <f t="shared" si="234"/>
        <v>#DIV/0!</v>
      </c>
      <c r="L160" s="62" t="e">
        <f t="shared" si="235"/>
        <v>#DIV/0!</v>
      </c>
      <c r="M160" s="62" t="e">
        <f t="shared" si="236"/>
        <v>#DIV/0!</v>
      </c>
      <c r="N160" s="62" t="e">
        <f t="shared" si="237"/>
        <v>#DIV/0!</v>
      </c>
      <c r="O160" s="17" t="e">
        <f t="shared" si="178"/>
        <v>#DIV/0!</v>
      </c>
      <c r="Q160" s="62">
        <v>0.5</v>
      </c>
      <c r="R160" s="62" t="e">
        <f t="shared" si="238"/>
        <v>#DIV/0!</v>
      </c>
      <c r="S160" s="62" t="e">
        <f t="shared" si="239"/>
        <v>#DIV/0!</v>
      </c>
      <c r="T160" s="62" t="e">
        <f t="shared" si="240"/>
        <v>#DIV/0!</v>
      </c>
      <c r="U160" s="62" t="e">
        <f t="shared" si="241"/>
        <v>#DIV/0!</v>
      </c>
      <c r="V160" s="62" t="e">
        <f t="shared" si="242"/>
        <v>#DIV/0!</v>
      </c>
      <c r="W160" s="59" t="e">
        <f t="shared" si="208"/>
        <v>#DIV/0!</v>
      </c>
      <c r="X160" s="101" t="e">
        <f t="shared" si="243"/>
        <v>#DIV/0!</v>
      </c>
      <c r="Y160" s="104"/>
      <c r="AA160" s="62" t="e">
        <f t="shared" si="244"/>
        <v>#DIV/0!</v>
      </c>
      <c r="AN160" s="55"/>
      <c r="AP160" s="59" t="s">
        <v>84</v>
      </c>
      <c r="AQ160" s="62"/>
      <c r="AR160" s="62" t="str">
        <f>IF(AR158="","",(AR158-AR159)^2)</f>
        <v/>
      </c>
      <c r="AS160" s="62" t="str">
        <f t="shared" ref="AS160:BF160" si="247">IF(AS158="","",(AS158-AS159)^2)</f>
        <v/>
      </c>
      <c r="AT160" s="62" t="str">
        <f t="shared" si="247"/>
        <v/>
      </c>
      <c r="AU160" s="62" t="str">
        <f>IF(AU158="","",(AU158-AU159)^2)</f>
        <v/>
      </c>
      <c r="AV160" s="62" t="str">
        <f t="shared" si="247"/>
        <v/>
      </c>
      <c r="AW160" s="62" t="str">
        <f t="shared" si="247"/>
        <v/>
      </c>
      <c r="AX160" s="62" t="str">
        <f t="shared" si="247"/>
        <v/>
      </c>
      <c r="AY160" s="62" t="str">
        <f t="shared" si="247"/>
        <v/>
      </c>
      <c r="AZ160" s="62" t="str">
        <f t="shared" si="247"/>
        <v/>
      </c>
      <c r="BA160" s="62" t="str">
        <f t="shared" si="247"/>
        <v/>
      </c>
      <c r="BB160" s="62" t="str">
        <f t="shared" si="247"/>
        <v/>
      </c>
      <c r="BC160" s="62" t="str">
        <f t="shared" si="247"/>
        <v/>
      </c>
      <c r="BD160" s="62" t="str">
        <f t="shared" si="247"/>
        <v/>
      </c>
      <c r="BE160" s="62" t="str">
        <f t="shared" si="247"/>
        <v/>
      </c>
      <c r="BF160" s="62" t="str">
        <f t="shared" si="247"/>
        <v/>
      </c>
    </row>
    <row r="161" spans="1:77" x14ac:dyDescent="0.5">
      <c r="A161" s="49"/>
      <c r="B161" s="62">
        <v>3.9999999999999002E-2</v>
      </c>
      <c r="C161" s="62" t="e">
        <f t="shared" si="228"/>
        <v>#DIV/0!</v>
      </c>
      <c r="D161" s="62" t="e">
        <f t="shared" si="229"/>
        <v>#DIV/0!</v>
      </c>
      <c r="E161" s="59">
        <f t="shared" si="230"/>
        <v>3.9999999999999001</v>
      </c>
      <c r="F161" s="59" t="e">
        <f t="shared" si="231"/>
        <v>#DIV/0!</v>
      </c>
      <c r="G161" s="59" t="e">
        <f t="shared" si="232"/>
        <v>#DIV/0!</v>
      </c>
      <c r="H161" s="62" t="e">
        <f t="shared" ref="H161:H165" si="248">IF(OR($Z$64=1,$Z$64=2,$Z$64=3),$U$64*B161,IF($Z$64=4,T206,IF($Z$64=5,AI259,NA())))</f>
        <v>#DIV/0!</v>
      </c>
      <c r="I161" s="62" t="e">
        <f t="shared" ref="I161:I165" si="249">IF(OR($Z$64=1,$Z$64=2,$Z$64=3),(H161-$U$64)/$U$65,IF($Z$64=4,U206,IF($Z$64=5,AJ259,NA())))</f>
        <v>#DIV/0!</v>
      </c>
      <c r="J161" s="62" t="e">
        <f t="shared" si="233"/>
        <v>#DIV/0!</v>
      </c>
      <c r="K161" s="62" t="e">
        <f t="shared" si="234"/>
        <v>#DIV/0!</v>
      </c>
      <c r="L161" s="62" t="e">
        <f t="shared" si="235"/>
        <v>#DIV/0!</v>
      </c>
      <c r="M161" s="62" t="e">
        <f t="shared" si="236"/>
        <v>#DIV/0!</v>
      </c>
      <c r="N161" s="62" t="e">
        <f t="shared" si="237"/>
        <v>#DIV/0!</v>
      </c>
      <c r="O161" s="17" t="e">
        <f>SLOPE(I156:I165,E156:E165)</f>
        <v>#DIV/0!</v>
      </c>
      <c r="Q161" s="62">
        <v>0.49</v>
      </c>
      <c r="R161" s="62" t="e">
        <f t="shared" si="238"/>
        <v>#DIV/0!</v>
      </c>
      <c r="S161" s="62" t="e">
        <f t="shared" si="239"/>
        <v>#DIV/0!</v>
      </c>
      <c r="T161" s="62" t="e">
        <f t="shared" si="240"/>
        <v>#DIV/0!</v>
      </c>
      <c r="U161" s="62" t="e">
        <f t="shared" si="241"/>
        <v>#DIV/0!</v>
      </c>
      <c r="V161" s="62" t="e">
        <f t="shared" si="242"/>
        <v>#DIV/0!</v>
      </c>
      <c r="W161" s="59" t="e">
        <f t="shared" si="208"/>
        <v>#DIV/0!</v>
      </c>
      <c r="X161" s="101" t="e">
        <f t="shared" si="243"/>
        <v>#DIV/0!</v>
      </c>
      <c r="Y161" s="104"/>
      <c r="AA161" s="62" t="e">
        <f t="shared" si="244"/>
        <v>#DIV/0!</v>
      </c>
      <c r="AN161" s="55"/>
    </row>
    <row r="162" spans="1:77" x14ac:dyDescent="0.5">
      <c r="A162" s="49"/>
      <c r="B162" s="62">
        <v>2.9999999999999E-2</v>
      </c>
      <c r="C162" s="62" t="e">
        <f t="shared" si="228"/>
        <v>#DIV/0!</v>
      </c>
      <c r="D162" s="62" t="e">
        <f t="shared" si="229"/>
        <v>#DIV/0!</v>
      </c>
      <c r="E162" s="59">
        <f t="shared" si="230"/>
        <v>2.9999999999999001</v>
      </c>
      <c r="F162" s="59" t="e">
        <f t="shared" si="231"/>
        <v>#DIV/0!</v>
      </c>
      <c r="G162" s="59" t="e">
        <f t="shared" si="232"/>
        <v>#DIV/0!</v>
      </c>
      <c r="H162" s="62" t="e">
        <f t="shared" si="248"/>
        <v>#DIV/0!</v>
      </c>
      <c r="I162" s="62" t="e">
        <f t="shared" si="249"/>
        <v>#DIV/0!</v>
      </c>
      <c r="J162" s="62" t="e">
        <f t="shared" si="233"/>
        <v>#DIV/0!</v>
      </c>
      <c r="K162" s="62" t="e">
        <f t="shared" si="234"/>
        <v>#DIV/0!</v>
      </c>
      <c r="L162" s="62" t="e">
        <f t="shared" si="235"/>
        <v>#DIV/0!</v>
      </c>
      <c r="M162" s="62" t="e">
        <f t="shared" si="236"/>
        <v>#DIV/0!</v>
      </c>
      <c r="N162" s="62" t="e">
        <f t="shared" si="237"/>
        <v>#DIV/0!</v>
      </c>
      <c r="O162" s="17" t="e">
        <f>SLOPE(I157:I165,E157:E165)</f>
        <v>#DIV/0!</v>
      </c>
      <c r="Q162" s="62">
        <v>0.48</v>
      </c>
      <c r="R162" s="62" t="e">
        <f t="shared" si="238"/>
        <v>#DIV/0!</v>
      </c>
      <c r="S162" s="62" t="e">
        <f t="shared" si="239"/>
        <v>#DIV/0!</v>
      </c>
      <c r="T162" s="62" t="e">
        <f t="shared" si="240"/>
        <v>#DIV/0!</v>
      </c>
      <c r="U162" s="62" t="e">
        <f t="shared" si="241"/>
        <v>#DIV/0!</v>
      </c>
      <c r="V162" s="62" t="e">
        <f t="shared" si="242"/>
        <v>#DIV/0!</v>
      </c>
      <c r="W162" s="59" t="e">
        <f t="shared" si="208"/>
        <v>#DIV/0!</v>
      </c>
      <c r="X162" s="101" t="e">
        <f t="shared" si="243"/>
        <v>#DIV/0!</v>
      </c>
      <c r="Y162" s="104"/>
      <c r="AA162" s="62" t="e">
        <f t="shared" si="244"/>
        <v>#DIV/0!</v>
      </c>
      <c r="AF162" s="59" t="s">
        <v>75</v>
      </c>
      <c r="AG162" s="59" t="s">
        <v>76</v>
      </c>
      <c r="AH162" s="59" t="s">
        <v>77</v>
      </c>
      <c r="AI162" s="59" t="s">
        <v>23</v>
      </c>
      <c r="AJ162" s="59" t="s">
        <v>7</v>
      </c>
      <c r="AK162" s="59" t="s">
        <v>8</v>
      </c>
      <c r="AL162" s="59" t="s">
        <v>37</v>
      </c>
      <c r="AM162" s="59" t="s">
        <v>117</v>
      </c>
      <c r="AN162" s="55"/>
      <c r="AO162" s="17" t="s">
        <v>104</v>
      </c>
      <c r="AP162" s="53" t="s">
        <v>60</v>
      </c>
      <c r="AR162" s="52" t="s">
        <v>110</v>
      </c>
    </row>
    <row r="163" spans="1:77" x14ac:dyDescent="0.5">
      <c r="A163" s="49"/>
      <c r="B163" s="62">
        <v>1.9999999999999001E-2</v>
      </c>
      <c r="C163" s="62" t="e">
        <f t="shared" si="228"/>
        <v>#DIV/0!</v>
      </c>
      <c r="D163" s="62" t="e">
        <f t="shared" si="229"/>
        <v>#DIV/0!</v>
      </c>
      <c r="E163" s="59">
        <f t="shared" si="230"/>
        <v>1.9999999999999001</v>
      </c>
      <c r="F163" s="59" t="e">
        <f t="shared" si="231"/>
        <v>#DIV/0!</v>
      </c>
      <c r="G163" s="59" t="e">
        <f t="shared" si="232"/>
        <v>#DIV/0!</v>
      </c>
      <c r="H163" s="62" t="e">
        <f t="shared" si="248"/>
        <v>#DIV/0!</v>
      </c>
      <c r="I163" s="62" t="e">
        <f t="shared" si="249"/>
        <v>#DIV/0!</v>
      </c>
      <c r="J163" s="62" t="e">
        <f t="shared" si="233"/>
        <v>#DIV/0!</v>
      </c>
      <c r="K163" s="62" t="e">
        <f t="shared" si="234"/>
        <v>#DIV/0!</v>
      </c>
      <c r="L163" s="62" t="e">
        <f t="shared" si="235"/>
        <v>#DIV/0!</v>
      </c>
      <c r="M163" s="62" t="e">
        <f t="shared" si="236"/>
        <v>#DIV/0!</v>
      </c>
      <c r="N163" s="62" t="e">
        <f t="shared" si="237"/>
        <v>#DIV/0!</v>
      </c>
      <c r="O163" s="17" t="e">
        <f>SLOPE(I158:I165,E158:E165)</f>
        <v>#DIV/0!</v>
      </c>
      <c r="Q163" s="62">
        <v>0.47</v>
      </c>
      <c r="R163" s="62" t="e">
        <f t="shared" si="238"/>
        <v>#DIV/0!</v>
      </c>
      <c r="S163" s="62" t="e">
        <f t="shared" si="239"/>
        <v>#DIV/0!</v>
      </c>
      <c r="T163" s="62" t="e">
        <f t="shared" si="240"/>
        <v>#DIV/0!</v>
      </c>
      <c r="U163" s="62" t="e">
        <f t="shared" si="241"/>
        <v>#DIV/0!</v>
      </c>
      <c r="V163" s="62" t="e">
        <f t="shared" si="242"/>
        <v>#DIV/0!</v>
      </c>
      <c r="W163" s="59" t="e">
        <f t="shared" si="208"/>
        <v>#DIV/0!</v>
      </c>
      <c r="X163" s="101" t="e">
        <f t="shared" si="243"/>
        <v>#DIV/0!</v>
      </c>
      <c r="Y163" s="104"/>
      <c r="AA163" s="62" t="e">
        <f t="shared" si="244"/>
        <v>#DIV/0!</v>
      </c>
      <c r="AF163" s="62">
        <v>1</v>
      </c>
      <c r="AG163" s="62" t="e">
        <f>AJ163/$AT$183</f>
        <v>#DIV/0!</v>
      </c>
      <c r="AH163" s="62" t="e">
        <f>AK163/$AT$184</f>
        <v>#DIV/0!</v>
      </c>
      <c r="AI163" s="62" t="e">
        <f>$AT$178*AF163</f>
        <v>#DIV/0!</v>
      </c>
      <c r="AJ163" s="62" t="e">
        <f>(1/(1+EXP($AT$181-AI163/$AT$178)^$AT$180))*((AI163-$AT$178)/$AT$179)+(1/(1+EXP(AI163/$AT$178-$AT$181)^$AT$180))*((($AT$175-AI163)*$AT$177)/(AI163+$AT$176))</f>
        <v>#DIV/0!</v>
      </c>
      <c r="AK163" s="62" t="e">
        <f t="shared" ref="AK163:AK194" si="250">AI163*AJ163</f>
        <v>#DIV/0!</v>
      </c>
      <c r="AL163" s="59" t="e">
        <f>ROUND(SLOPE(AI163:AI167,AJ163:AJ167),0)</f>
        <v>#DIV/0!</v>
      </c>
      <c r="AM163" s="100"/>
      <c r="AN163" s="55"/>
      <c r="AP163" s="59" t="s">
        <v>111</v>
      </c>
      <c r="AQ163" s="59"/>
      <c r="AR163" s="63" t="str">
        <f>IF(AR111="","",AR111-AR136)</f>
        <v/>
      </c>
      <c r="AS163" s="63" t="str">
        <f>IF(AS111="","",AS111-AS136)</f>
        <v/>
      </c>
      <c r="AT163" s="63" t="str">
        <f t="shared" ref="AT163:BF163" si="251">IF(AT111="","",AT111-AT136)</f>
        <v/>
      </c>
      <c r="AU163" s="63" t="str">
        <f t="shared" si="251"/>
        <v/>
      </c>
      <c r="AV163" s="63" t="str">
        <f t="shared" si="251"/>
        <v/>
      </c>
      <c r="AW163" s="63" t="str">
        <f t="shared" si="251"/>
        <v/>
      </c>
      <c r="AX163" s="63" t="str">
        <f t="shared" si="251"/>
        <v/>
      </c>
      <c r="AY163" s="63" t="str">
        <f t="shared" si="251"/>
        <v/>
      </c>
      <c r="AZ163" s="63" t="str">
        <f t="shared" si="251"/>
        <v/>
      </c>
      <c r="BA163" s="63" t="str">
        <f t="shared" si="251"/>
        <v/>
      </c>
      <c r="BB163" s="63" t="str">
        <f t="shared" si="251"/>
        <v/>
      </c>
      <c r="BC163" s="63" t="str">
        <f t="shared" si="251"/>
        <v/>
      </c>
      <c r="BD163" s="63" t="str">
        <f t="shared" si="251"/>
        <v/>
      </c>
      <c r="BE163" s="63" t="str">
        <f t="shared" si="251"/>
        <v/>
      </c>
      <c r="BF163" s="63" t="str">
        <f t="shared" si="251"/>
        <v/>
      </c>
    </row>
    <row r="164" spans="1:77" x14ac:dyDescent="0.5">
      <c r="A164" s="49"/>
      <c r="B164" s="62">
        <v>9.9999999999990097E-3</v>
      </c>
      <c r="C164" s="62" t="e">
        <f t="shared" si="228"/>
        <v>#DIV/0!</v>
      </c>
      <c r="D164" s="62" t="e">
        <f t="shared" si="229"/>
        <v>#DIV/0!</v>
      </c>
      <c r="E164" s="59">
        <f t="shared" si="230"/>
        <v>0.99999999999990097</v>
      </c>
      <c r="F164" s="59" t="e">
        <f t="shared" si="231"/>
        <v>#DIV/0!</v>
      </c>
      <c r="G164" s="59" t="e">
        <f t="shared" si="232"/>
        <v>#DIV/0!</v>
      </c>
      <c r="H164" s="62" t="e">
        <f t="shared" si="248"/>
        <v>#DIV/0!</v>
      </c>
      <c r="I164" s="62" t="e">
        <f t="shared" si="249"/>
        <v>#DIV/0!</v>
      </c>
      <c r="J164" s="62" t="e">
        <f t="shared" si="233"/>
        <v>#DIV/0!</v>
      </c>
      <c r="K164" s="62" t="e">
        <f t="shared" si="234"/>
        <v>#DIV/0!</v>
      </c>
      <c r="L164" s="62" t="e">
        <f t="shared" si="235"/>
        <v>#DIV/0!</v>
      </c>
      <c r="M164" s="62" t="e">
        <f t="shared" si="236"/>
        <v>#DIV/0!</v>
      </c>
      <c r="N164" s="62" t="e">
        <f t="shared" si="237"/>
        <v>#DIV/0!</v>
      </c>
      <c r="O164" s="17" t="e">
        <f>SLOPE(I159:I165,E159:E165)</f>
        <v>#DIV/0!</v>
      </c>
      <c r="Q164" s="62">
        <v>0.46</v>
      </c>
      <c r="R164" s="62" t="e">
        <f t="shared" si="238"/>
        <v>#DIV/0!</v>
      </c>
      <c r="S164" s="62" t="e">
        <f t="shared" si="239"/>
        <v>#DIV/0!</v>
      </c>
      <c r="T164" s="62" t="e">
        <f t="shared" si="240"/>
        <v>#DIV/0!</v>
      </c>
      <c r="U164" s="62" t="e">
        <f t="shared" si="241"/>
        <v>#DIV/0!</v>
      </c>
      <c r="V164" s="62" t="e">
        <f t="shared" si="242"/>
        <v>#DIV/0!</v>
      </c>
      <c r="W164" s="59" t="e">
        <f t="shared" si="208"/>
        <v>#DIV/0!</v>
      </c>
      <c r="X164" s="101" t="e">
        <f t="shared" si="243"/>
        <v>#DIV/0!</v>
      </c>
      <c r="Y164" s="104"/>
      <c r="AA164" s="62" t="e">
        <f t="shared" si="244"/>
        <v>#DIV/0!</v>
      </c>
      <c r="AF164" s="62">
        <v>0.99</v>
      </c>
      <c r="AG164" s="62" t="e">
        <f t="shared" ref="AG164:AG227" si="252">AJ164/$AT$183</f>
        <v>#DIV/0!</v>
      </c>
      <c r="AH164" s="62" t="e">
        <f t="shared" ref="AH164:AH227" si="253">AK164/$AT$184</f>
        <v>#DIV/0!</v>
      </c>
      <c r="AI164" s="62" t="e">
        <f t="shared" ref="AI164:AI168" si="254">$AT$178*AF164</f>
        <v>#DIV/0!</v>
      </c>
      <c r="AJ164" s="62" t="e">
        <f t="shared" ref="AJ164:AJ168" si="255">(1/(1+EXP($AT$181-AI164/$AT$178)^$AT$180))*((AI164-$AT$178)/$AT$179)+(1/(1+EXP(AI164/$AT$178-$AT$181)^$AT$180))*((($AT$175-AI164)*$AT$177)/(AI164+$AT$176))</f>
        <v>#DIV/0!</v>
      </c>
      <c r="AK164" s="62" t="e">
        <f t="shared" si="250"/>
        <v>#DIV/0!</v>
      </c>
      <c r="AL164" s="59" t="e">
        <f>ROUND(SLOPE(AI163:AI168,AJ163:AJ168),0)</f>
        <v>#DIV/0!</v>
      </c>
      <c r="AM164" s="101" t="e">
        <f>ROUND(((AL163-AL164)/AL163),4)</f>
        <v>#DIV/0!</v>
      </c>
      <c r="AN164" s="55"/>
      <c r="AP164" s="59" t="s">
        <v>58</v>
      </c>
      <c r="AQ164" s="59"/>
      <c r="AR164" s="63" t="str">
        <f>IF(AR163="","",ABS(AR163))</f>
        <v/>
      </c>
      <c r="AS164" s="63" t="str">
        <f t="shared" ref="AS164:AZ164" si="256">IF(AS163="","",ABS(AS163))</f>
        <v/>
      </c>
      <c r="AT164" s="63" t="str">
        <f t="shared" si="256"/>
        <v/>
      </c>
      <c r="AU164" s="63" t="str">
        <f t="shared" si="256"/>
        <v/>
      </c>
      <c r="AV164" s="63" t="str">
        <f t="shared" si="256"/>
        <v/>
      </c>
      <c r="AW164" s="63" t="str">
        <f t="shared" si="256"/>
        <v/>
      </c>
      <c r="AX164" s="63" t="str">
        <f t="shared" si="256"/>
        <v/>
      </c>
      <c r="AY164" s="63" t="str">
        <f t="shared" si="256"/>
        <v/>
      </c>
      <c r="AZ164" s="63" t="str">
        <f t="shared" si="256"/>
        <v/>
      </c>
      <c r="BA164" s="63" t="str">
        <f t="shared" ref="BA164:BF164" si="257">IF(BA163="","",ABS(BA163))</f>
        <v/>
      </c>
      <c r="BB164" s="63" t="str">
        <f t="shared" si="257"/>
        <v/>
      </c>
      <c r="BC164" s="63" t="str">
        <f t="shared" si="257"/>
        <v/>
      </c>
      <c r="BD164" s="63" t="str">
        <f t="shared" si="257"/>
        <v/>
      </c>
      <c r="BE164" s="63" t="str">
        <f t="shared" si="257"/>
        <v/>
      </c>
      <c r="BF164" s="63" t="str">
        <f t="shared" si="257"/>
        <v/>
      </c>
    </row>
    <row r="165" spans="1:77" x14ac:dyDescent="0.5">
      <c r="A165" s="49"/>
      <c r="B165" s="62">
        <v>0</v>
      </c>
      <c r="C165" s="62" t="e">
        <f t="shared" si="228"/>
        <v>#DIV/0!</v>
      </c>
      <c r="D165" s="62" t="e">
        <f t="shared" si="229"/>
        <v>#DIV/0!</v>
      </c>
      <c r="E165" s="59">
        <f t="shared" si="230"/>
        <v>0</v>
      </c>
      <c r="F165" s="59" t="e">
        <f t="shared" si="231"/>
        <v>#DIV/0!</v>
      </c>
      <c r="G165" s="59" t="e">
        <f t="shared" si="232"/>
        <v>#DIV/0!</v>
      </c>
      <c r="H165" s="62" t="e">
        <f t="shared" si="248"/>
        <v>#DIV/0!</v>
      </c>
      <c r="I165" s="62" t="e">
        <f t="shared" si="249"/>
        <v>#DIV/0!</v>
      </c>
      <c r="J165" s="62" t="e">
        <f t="shared" si="233"/>
        <v>#DIV/0!</v>
      </c>
      <c r="K165" s="62" t="e">
        <f t="shared" si="234"/>
        <v>#DIV/0!</v>
      </c>
      <c r="L165" s="62" t="e">
        <f t="shared" si="235"/>
        <v>#DIV/0!</v>
      </c>
      <c r="M165" s="62" t="e">
        <f t="shared" si="236"/>
        <v>#DIV/0!</v>
      </c>
      <c r="N165" s="62" t="e">
        <f t="shared" si="237"/>
        <v>#DIV/0!</v>
      </c>
      <c r="O165" s="17" t="e">
        <f>SLOPE(I160:I165,E160:E165)</f>
        <v>#DIV/0!</v>
      </c>
      <c r="Q165" s="62">
        <v>0.45</v>
      </c>
      <c r="R165" s="62" t="e">
        <f t="shared" si="238"/>
        <v>#DIV/0!</v>
      </c>
      <c r="S165" s="62" t="e">
        <f t="shared" si="239"/>
        <v>#DIV/0!</v>
      </c>
      <c r="T165" s="62" t="e">
        <f t="shared" si="240"/>
        <v>#DIV/0!</v>
      </c>
      <c r="U165" s="62" t="e">
        <f t="shared" si="241"/>
        <v>#DIV/0!</v>
      </c>
      <c r="V165" s="62" t="e">
        <f t="shared" si="242"/>
        <v>#DIV/0!</v>
      </c>
      <c r="W165" s="59" t="e">
        <f t="shared" si="208"/>
        <v>#DIV/0!</v>
      </c>
      <c r="X165" s="101" t="e">
        <f t="shared" si="243"/>
        <v>#DIV/0!</v>
      </c>
      <c r="Y165" s="104"/>
      <c r="AA165" s="62" t="e">
        <f t="shared" si="244"/>
        <v>#DIV/0!</v>
      </c>
      <c r="AF165" s="62">
        <v>0.98</v>
      </c>
      <c r="AG165" s="62" t="e">
        <f t="shared" si="252"/>
        <v>#DIV/0!</v>
      </c>
      <c r="AH165" s="62" t="e">
        <f t="shared" si="253"/>
        <v>#DIV/0!</v>
      </c>
      <c r="AI165" s="62" t="e">
        <f t="shared" si="254"/>
        <v>#DIV/0!</v>
      </c>
      <c r="AJ165" s="62" t="e">
        <f t="shared" si="255"/>
        <v>#DIV/0!</v>
      </c>
      <c r="AK165" s="62" t="e">
        <f t="shared" si="250"/>
        <v>#DIV/0!</v>
      </c>
      <c r="AL165" s="59" t="e">
        <f>ROUND(SLOPE(AI163:AI169,AJ163:AJ169),0)</f>
        <v>#DIV/0!</v>
      </c>
      <c r="AM165" s="101" t="e">
        <f t="shared" ref="AM165:AM228" si="258">ROUND(((AL164-AL165)/AL164),4)</f>
        <v>#DIV/0!</v>
      </c>
      <c r="AN165" s="55"/>
      <c r="AP165" s="59" t="s">
        <v>56</v>
      </c>
      <c r="AQ165" s="59"/>
      <c r="AR165" s="63" t="str">
        <f t="shared" ref="AR165:AZ165" si="259">IF(AR163="","",IF(AR163&lt;-$AP$4,0,1))</f>
        <v/>
      </c>
      <c r="AS165" s="63" t="str">
        <f t="shared" si="259"/>
        <v/>
      </c>
      <c r="AT165" s="63" t="str">
        <f t="shared" si="259"/>
        <v/>
      </c>
      <c r="AU165" s="63" t="str">
        <f t="shared" si="259"/>
        <v/>
      </c>
      <c r="AV165" s="63" t="str">
        <f t="shared" si="259"/>
        <v/>
      </c>
      <c r="AW165" s="63" t="str">
        <f t="shared" si="259"/>
        <v/>
      </c>
      <c r="AX165" s="63" t="str">
        <f t="shared" si="259"/>
        <v/>
      </c>
      <c r="AY165" s="63" t="str">
        <f t="shared" si="259"/>
        <v/>
      </c>
      <c r="AZ165" s="63" t="str">
        <f t="shared" si="259"/>
        <v/>
      </c>
      <c r="BA165" s="63" t="str">
        <f t="shared" ref="BA165:BF165" si="260">IF(BA163="","",IF(BA163&lt;-$AP$4,0,1))</f>
        <v/>
      </c>
      <c r="BB165" s="63" t="str">
        <f t="shared" si="260"/>
        <v/>
      </c>
      <c r="BC165" s="63" t="str">
        <f t="shared" si="260"/>
        <v/>
      </c>
      <c r="BD165" s="63" t="str">
        <f t="shared" si="260"/>
        <v/>
      </c>
      <c r="BE165" s="63" t="str">
        <f t="shared" si="260"/>
        <v/>
      </c>
      <c r="BF165" s="63" t="str">
        <f t="shared" si="260"/>
        <v/>
      </c>
    </row>
    <row r="166" spans="1:77" x14ac:dyDescent="0.5">
      <c r="A166" s="49"/>
      <c r="O166" s="17"/>
      <c r="Q166" s="62">
        <v>0.44</v>
      </c>
      <c r="R166" s="62" t="e">
        <f t="shared" si="238"/>
        <v>#DIV/0!</v>
      </c>
      <c r="S166" s="62" t="e">
        <f t="shared" si="239"/>
        <v>#DIV/0!</v>
      </c>
      <c r="T166" s="62" t="e">
        <f t="shared" si="240"/>
        <v>#DIV/0!</v>
      </c>
      <c r="U166" s="62" t="e">
        <f t="shared" si="241"/>
        <v>#DIV/0!</v>
      </c>
      <c r="V166" s="62" t="e">
        <f t="shared" si="242"/>
        <v>#DIV/0!</v>
      </c>
      <c r="W166" s="59" t="e">
        <f t="shared" si="208"/>
        <v>#DIV/0!</v>
      </c>
      <c r="X166" s="101" t="e">
        <f t="shared" si="243"/>
        <v>#DIV/0!</v>
      </c>
      <c r="Y166" s="104"/>
      <c r="AA166" s="62" t="e">
        <f t="shared" si="244"/>
        <v>#DIV/0!</v>
      </c>
      <c r="AF166" s="62">
        <v>0.97</v>
      </c>
      <c r="AG166" s="62" t="e">
        <f t="shared" si="252"/>
        <v>#DIV/0!</v>
      </c>
      <c r="AH166" s="62" t="e">
        <f t="shared" si="253"/>
        <v>#DIV/0!</v>
      </c>
      <c r="AI166" s="62" t="e">
        <f t="shared" si="254"/>
        <v>#DIV/0!</v>
      </c>
      <c r="AJ166" s="62" t="e">
        <f t="shared" si="255"/>
        <v>#DIV/0!</v>
      </c>
      <c r="AK166" s="62" t="e">
        <f t="shared" si="250"/>
        <v>#DIV/0!</v>
      </c>
      <c r="AL166" s="59" t="e">
        <f>ROUND(SLOPE(AI163:AI170,AJ163:AJ170),0)</f>
        <v>#DIV/0!</v>
      </c>
      <c r="AM166" s="101" t="e">
        <f t="shared" si="258"/>
        <v>#DIV/0!</v>
      </c>
      <c r="AN166" s="55"/>
      <c r="AP166" s="59" t="s">
        <v>35</v>
      </c>
      <c r="AQ166" s="59"/>
      <c r="AR166" s="63" t="str">
        <f>IF(AR13=0,"",MIN(AR16,AR165))</f>
        <v/>
      </c>
      <c r="AS166" s="63" t="str">
        <f>IF(AS13=0,"",MIN(AS16,AS165))</f>
        <v/>
      </c>
      <c r="AT166" s="63" t="str">
        <f t="shared" ref="AT166:AZ166" si="261">IF(AT13=0,"",MIN(AT16,AT165))</f>
        <v/>
      </c>
      <c r="AU166" s="63" t="str">
        <f t="shared" si="261"/>
        <v/>
      </c>
      <c r="AV166" s="63" t="str">
        <f t="shared" si="261"/>
        <v/>
      </c>
      <c r="AW166" s="63" t="str">
        <f t="shared" si="261"/>
        <v/>
      </c>
      <c r="AX166" s="63" t="str">
        <f t="shared" si="261"/>
        <v/>
      </c>
      <c r="AY166" s="63" t="str">
        <f t="shared" si="261"/>
        <v/>
      </c>
      <c r="AZ166" s="63" t="str">
        <f t="shared" si="261"/>
        <v/>
      </c>
      <c r="BA166" s="63" t="str">
        <f t="shared" ref="BA166:BF166" si="262">IF(BA13=0,"",MIN(BA16,BA165))</f>
        <v/>
      </c>
      <c r="BB166" s="63" t="str">
        <f t="shared" si="262"/>
        <v/>
      </c>
      <c r="BC166" s="63" t="str">
        <f t="shared" si="262"/>
        <v/>
      </c>
      <c r="BD166" s="63" t="str">
        <f t="shared" si="262"/>
        <v/>
      </c>
      <c r="BE166" s="63" t="str">
        <f t="shared" si="262"/>
        <v/>
      </c>
      <c r="BF166" s="63" t="str">
        <f t="shared" si="262"/>
        <v/>
      </c>
    </row>
    <row r="167" spans="1:77" x14ac:dyDescent="0.5">
      <c r="A167" s="49"/>
      <c r="O167" s="17"/>
      <c r="Q167" s="62">
        <v>0.42999999999999899</v>
      </c>
      <c r="R167" s="62" t="e">
        <f t="shared" si="238"/>
        <v>#DIV/0!</v>
      </c>
      <c r="S167" s="62" t="e">
        <f t="shared" si="239"/>
        <v>#DIV/0!</v>
      </c>
      <c r="T167" s="62" t="e">
        <f t="shared" si="240"/>
        <v>#DIV/0!</v>
      </c>
      <c r="U167" s="62" t="e">
        <f t="shared" si="241"/>
        <v>#DIV/0!</v>
      </c>
      <c r="V167" s="62" t="e">
        <f t="shared" si="242"/>
        <v>#DIV/0!</v>
      </c>
      <c r="W167" s="59" t="e">
        <f t="shared" si="208"/>
        <v>#DIV/0!</v>
      </c>
      <c r="X167" s="101" t="e">
        <f t="shared" si="243"/>
        <v>#DIV/0!</v>
      </c>
      <c r="Y167" s="104"/>
      <c r="AA167" s="62" t="e">
        <f t="shared" si="244"/>
        <v>#DIV/0!</v>
      </c>
      <c r="AF167" s="62">
        <v>0.96</v>
      </c>
      <c r="AG167" s="62" t="e">
        <f t="shared" si="252"/>
        <v>#DIV/0!</v>
      </c>
      <c r="AH167" s="62" t="e">
        <f t="shared" si="253"/>
        <v>#DIV/0!</v>
      </c>
      <c r="AI167" s="62" t="e">
        <f t="shared" si="254"/>
        <v>#DIV/0!</v>
      </c>
      <c r="AJ167" s="62" t="e">
        <f t="shared" si="255"/>
        <v>#DIV/0!</v>
      </c>
      <c r="AK167" s="62" t="e">
        <f t="shared" si="250"/>
        <v>#DIV/0!</v>
      </c>
      <c r="AL167" s="59" t="e">
        <f>ROUND(SLOPE(AI163:AI171,AJ163:AJ171),0)</f>
        <v>#DIV/0!</v>
      </c>
      <c r="AM167" s="101" t="e">
        <f t="shared" si="258"/>
        <v>#DIV/0!</v>
      </c>
      <c r="AN167" s="55"/>
    </row>
    <row r="168" spans="1:77" x14ac:dyDescent="0.5">
      <c r="A168" s="49"/>
      <c r="O168" s="17"/>
      <c r="Q168" s="62">
        <v>0.41999999999999899</v>
      </c>
      <c r="R168" s="62" t="e">
        <f t="shared" si="238"/>
        <v>#DIV/0!</v>
      </c>
      <c r="S168" s="62" t="e">
        <f t="shared" si="239"/>
        <v>#DIV/0!</v>
      </c>
      <c r="T168" s="62" t="e">
        <f t="shared" si="240"/>
        <v>#DIV/0!</v>
      </c>
      <c r="U168" s="62" t="e">
        <f t="shared" si="241"/>
        <v>#DIV/0!</v>
      </c>
      <c r="V168" s="62" t="e">
        <f t="shared" si="242"/>
        <v>#DIV/0!</v>
      </c>
      <c r="W168" s="59" t="e">
        <f t="shared" si="208"/>
        <v>#DIV/0!</v>
      </c>
      <c r="X168" s="101" t="e">
        <f t="shared" si="243"/>
        <v>#DIV/0!</v>
      </c>
      <c r="Y168" s="104"/>
      <c r="AA168" s="62" t="e">
        <f t="shared" si="244"/>
        <v>#DIV/0!</v>
      </c>
      <c r="AF168" s="62">
        <v>0.95</v>
      </c>
      <c r="AG168" s="62" t="e">
        <f t="shared" si="252"/>
        <v>#DIV/0!</v>
      </c>
      <c r="AH168" s="62" t="e">
        <f t="shared" si="253"/>
        <v>#DIV/0!</v>
      </c>
      <c r="AI168" s="62" t="e">
        <f t="shared" si="254"/>
        <v>#DIV/0!</v>
      </c>
      <c r="AJ168" s="62" t="e">
        <f t="shared" si="255"/>
        <v>#DIV/0!</v>
      </c>
      <c r="AK168" s="62" t="e">
        <f t="shared" si="250"/>
        <v>#DIV/0!</v>
      </c>
      <c r="AL168" s="59" t="e">
        <f>ROUND(SLOPE(AI164:AI172,AJ164:AJ172),0)</f>
        <v>#DIV/0!</v>
      </c>
      <c r="AM168" s="101" t="e">
        <f t="shared" si="258"/>
        <v>#DIV/0!</v>
      </c>
      <c r="AN168" s="55"/>
      <c r="AP168" s="53" t="s">
        <v>62</v>
      </c>
      <c r="BI168" s="53" t="s">
        <v>62</v>
      </c>
    </row>
    <row r="169" spans="1:77" x14ac:dyDescent="0.5">
      <c r="A169" s="49"/>
      <c r="O169" s="17"/>
      <c r="Q169" s="62">
        <v>0.40999999999999898</v>
      </c>
      <c r="R169" s="62" t="e">
        <f t="shared" si="238"/>
        <v>#DIV/0!</v>
      </c>
      <c r="S169" s="62" t="e">
        <f t="shared" si="239"/>
        <v>#DIV/0!</v>
      </c>
      <c r="T169" s="62" t="e">
        <f t="shared" si="240"/>
        <v>#DIV/0!</v>
      </c>
      <c r="U169" s="62" t="e">
        <f t="shared" si="241"/>
        <v>#DIV/0!</v>
      </c>
      <c r="V169" s="62" t="e">
        <f t="shared" si="242"/>
        <v>#DIV/0!</v>
      </c>
      <c r="W169" s="59" t="e">
        <f t="shared" si="208"/>
        <v>#DIV/0!</v>
      </c>
      <c r="X169" s="101" t="e">
        <f t="shared" si="243"/>
        <v>#DIV/0!</v>
      </c>
      <c r="Y169" s="104"/>
      <c r="AA169" s="62" t="e">
        <f t="shared" si="244"/>
        <v>#DIV/0!</v>
      </c>
      <c r="AF169" s="62">
        <v>0.94</v>
      </c>
      <c r="AG169" s="62" t="e">
        <f t="shared" si="252"/>
        <v>#DIV/0!</v>
      </c>
      <c r="AH169" s="62" t="e">
        <f t="shared" si="253"/>
        <v>#DIV/0!</v>
      </c>
      <c r="AI169" s="62" t="e">
        <f>$AT$178*AF169</f>
        <v>#DIV/0!</v>
      </c>
      <c r="AJ169" s="62" t="e">
        <f>(1/(1+EXP($AT$181-AI169/$AT$178)^$AT$180))*((AI169-$AT$178)/$AT$179)+(1/(1+EXP(AI169/$AT$178-$AT$181)^$AT$180))*((($AT$175-AI169)*$AT$177)/(AI169+$AT$176))</f>
        <v>#DIV/0!</v>
      </c>
      <c r="AK169" s="62" t="e">
        <f t="shared" si="250"/>
        <v>#DIV/0!</v>
      </c>
      <c r="AL169" s="59" t="e">
        <f t="shared" ref="AL169:AL232" si="263">ROUND(SLOPE(AI165:AI173,AJ165:AJ173),0)</f>
        <v>#DIV/0!</v>
      </c>
      <c r="AM169" s="101" t="e">
        <f t="shared" si="258"/>
        <v>#DIV/0!</v>
      </c>
      <c r="AN169" s="55"/>
      <c r="AP169" s="59" t="s">
        <v>23</v>
      </c>
      <c r="AQ169" s="59"/>
      <c r="AR169" s="63" t="str">
        <f t="shared" ref="AR169:AS171" si="264">IF(AR$166=1,AR110,"")</f>
        <v/>
      </c>
      <c r="AS169" s="63" t="str">
        <f t="shared" si="264"/>
        <v/>
      </c>
      <c r="AT169" s="63" t="str">
        <f t="shared" ref="AT169:AZ169" si="265">IF(AT$166=1,AT110,"")</f>
        <v/>
      </c>
      <c r="AU169" s="63" t="str">
        <f t="shared" si="265"/>
        <v/>
      </c>
      <c r="AV169" s="63" t="str">
        <f t="shared" si="265"/>
        <v/>
      </c>
      <c r="AW169" s="63" t="str">
        <f t="shared" si="265"/>
        <v/>
      </c>
      <c r="AX169" s="63" t="str">
        <f t="shared" si="265"/>
        <v/>
      </c>
      <c r="AY169" s="63" t="str">
        <f t="shared" si="265"/>
        <v/>
      </c>
      <c r="AZ169" s="63" t="str">
        <f t="shared" si="265"/>
        <v/>
      </c>
      <c r="BA169" s="63" t="str">
        <f t="shared" ref="BA169:BF169" si="266">IF(BA$166=1,BA110,"")</f>
        <v/>
      </c>
      <c r="BB169" s="63" t="str">
        <f t="shared" si="266"/>
        <v/>
      </c>
      <c r="BC169" s="63" t="str">
        <f t="shared" si="266"/>
        <v/>
      </c>
      <c r="BD169" s="63" t="str">
        <f t="shared" si="266"/>
        <v/>
      </c>
      <c r="BE169" s="63" t="str">
        <f t="shared" si="266"/>
        <v/>
      </c>
      <c r="BF169" s="63" t="str">
        <f t="shared" si="266"/>
        <v/>
      </c>
      <c r="BI169" s="59" t="s">
        <v>23</v>
      </c>
      <c r="BJ169" s="59"/>
      <c r="BK169" s="62" t="e">
        <f>IF(AR$166=1,AR169,NA())</f>
        <v>#N/A</v>
      </c>
      <c r="BL169" s="62" t="e">
        <f t="shared" ref="BL169:BY171" si="267">IF(AS$166=1,AS169,NA())</f>
        <v>#N/A</v>
      </c>
      <c r="BM169" s="62" t="e">
        <f t="shared" si="267"/>
        <v>#N/A</v>
      </c>
      <c r="BN169" s="62" t="e">
        <f t="shared" si="267"/>
        <v>#N/A</v>
      </c>
      <c r="BO169" s="62" t="e">
        <f t="shared" si="267"/>
        <v>#N/A</v>
      </c>
      <c r="BP169" s="62" t="e">
        <f t="shared" si="267"/>
        <v>#N/A</v>
      </c>
      <c r="BQ169" s="62" t="e">
        <f t="shared" si="267"/>
        <v>#N/A</v>
      </c>
      <c r="BR169" s="62" t="e">
        <f t="shared" si="267"/>
        <v>#N/A</v>
      </c>
      <c r="BS169" s="62" t="e">
        <f t="shared" si="267"/>
        <v>#N/A</v>
      </c>
      <c r="BT169" s="62" t="e">
        <f t="shared" si="267"/>
        <v>#N/A</v>
      </c>
      <c r="BU169" s="62" t="e">
        <f t="shared" si="267"/>
        <v>#N/A</v>
      </c>
      <c r="BV169" s="62" t="e">
        <f t="shared" si="267"/>
        <v>#N/A</v>
      </c>
      <c r="BW169" s="62" t="e">
        <f t="shared" si="267"/>
        <v>#N/A</v>
      </c>
      <c r="BX169" s="62" t="e">
        <f t="shared" si="267"/>
        <v>#N/A</v>
      </c>
      <c r="BY169" s="62" t="e">
        <f t="shared" si="267"/>
        <v>#N/A</v>
      </c>
    </row>
    <row r="170" spans="1:77" x14ac:dyDescent="0.5">
      <c r="O170" s="17"/>
      <c r="Q170" s="62">
        <v>0.39999999999999902</v>
      </c>
      <c r="R170" s="62" t="e">
        <f t="shared" si="238"/>
        <v>#DIV/0!</v>
      </c>
      <c r="S170" s="62" t="e">
        <f t="shared" si="239"/>
        <v>#DIV/0!</v>
      </c>
      <c r="T170" s="62" t="e">
        <f t="shared" si="240"/>
        <v>#DIV/0!</v>
      </c>
      <c r="U170" s="62" t="e">
        <f t="shared" si="241"/>
        <v>#DIV/0!</v>
      </c>
      <c r="V170" s="62" t="e">
        <f t="shared" si="242"/>
        <v>#DIV/0!</v>
      </c>
      <c r="W170" s="59" t="e">
        <f t="shared" si="208"/>
        <v>#DIV/0!</v>
      </c>
      <c r="X170" s="101" t="e">
        <f t="shared" si="243"/>
        <v>#DIV/0!</v>
      </c>
      <c r="Y170" s="104"/>
      <c r="AA170" s="62" t="e">
        <f t="shared" si="244"/>
        <v>#DIV/0!</v>
      </c>
      <c r="AF170" s="62">
        <v>0.93</v>
      </c>
      <c r="AG170" s="62" t="e">
        <f t="shared" si="252"/>
        <v>#DIV/0!</v>
      </c>
      <c r="AH170" s="62" t="e">
        <f t="shared" si="253"/>
        <v>#DIV/0!</v>
      </c>
      <c r="AI170" s="62" t="e">
        <f t="shared" ref="AI170:AI233" si="268">$AT$178*AF170</f>
        <v>#DIV/0!</v>
      </c>
      <c r="AJ170" s="62" t="e">
        <f t="shared" ref="AJ170:AJ233" si="269">(1/(1+EXP($AT$181-AI170/$AT$178)^$AT$180))*((AI170-$AT$178)/$AT$179)+(1/(1+EXP(AI170/$AT$178-$AT$181)^$AT$180))*((($AT$175-AI170)*$AT$177)/(AI170+$AT$176))</f>
        <v>#DIV/0!</v>
      </c>
      <c r="AK170" s="62" t="e">
        <f t="shared" si="250"/>
        <v>#DIV/0!</v>
      </c>
      <c r="AL170" s="59" t="e">
        <f t="shared" si="263"/>
        <v>#DIV/0!</v>
      </c>
      <c r="AM170" s="101" t="e">
        <f t="shared" si="258"/>
        <v>#DIV/0!</v>
      </c>
      <c r="AN170" s="55"/>
      <c r="AP170" s="59" t="s">
        <v>7</v>
      </c>
      <c r="AQ170" s="59"/>
      <c r="AR170" s="63" t="str">
        <f t="shared" si="264"/>
        <v/>
      </c>
      <c r="AS170" s="63" t="str">
        <f t="shared" si="264"/>
        <v/>
      </c>
      <c r="AT170" s="63" t="str">
        <f t="shared" ref="AT170:AZ171" si="270">IF(AT$166=1,AT111,"")</f>
        <v/>
      </c>
      <c r="AU170" s="63" t="str">
        <f t="shared" si="270"/>
        <v/>
      </c>
      <c r="AV170" s="63" t="str">
        <f t="shared" si="270"/>
        <v/>
      </c>
      <c r="AW170" s="63" t="str">
        <f t="shared" si="270"/>
        <v/>
      </c>
      <c r="AX170" s="63" t="str">
        <f t="shared" si="270"/>
        <v/>
      </c>
      <c r="AY170" s="63" t="str">
        <f t="shared" si="270"/>
        <v/>
      </c>
      <c r="AZ170" s="63" t="str">
        <f t="shared" si="270"/>
        <v/>
      </c>
      <c r="BA170" s="63" t="str">
        <f t="shared" ref="BA170:BF170" si="271">IF(BA$166=1,BA111,"")</f>
        <v/>
      </c>
      <c r="BB170" s="63" t="str">
        <f t="shared" si="271"/>
        <v/>
      </c>
      <c r="BC170" s="63" t="str">
        <f t="shared" si="271"/>
        <v/>
      </c>
      <c r="BD170" s="63" t="str">
        <f t="shared" si="271"/>
        <v/>
      </c>
      <c r="BE170" s="63" t="str">
        <f t="shared" si="271"/>
        <v/>
      </c>
      <c r="BF170" s="63" t="str">
        <f t="shared" si="271"/>
        <v/>
      </c>
      <c r="BI170" s="59" t="s">
        <v>7</v>
      </c>
      <c r="BJ170" s="59"/>
      <c r="BK170" s="62" t="e">
        <f t="shared" ref="BK170:BK171" si="272">IF(AR$166=1,AR170,NA())</f>
        <v>#N/A</v>
      </c>
      <c r="BL170" s="62" t="e">
        <f t="shared" si="267"/>
        <v>#N/A</v>
      </c>
      <c r="BM170" s="62" t="e">
        <f t="shared" si="267"/>
        <v>#N/A</v>
      </c>
      <c r="BN170" s="62" t="e">
        <f t="shared" si="267"/>
        <v>#N/A</v>
      </c>
      <c r="BO170" s="62" t="e">
        <f t="shared" si="267"/>
        <v>#N/A</v>
      </c>
      <c r="BP170" s="62" t="e">
        <f t="shared" si="267"/>
        <v>#N/A</v>
      </c>
      <c r="BQ170" s="62" t="e">
        <f t="shared" si="267"/>
        <v>#N/A</v>
      </c>
      <c r="BR170" s="62" t="e">
        <f t="shared" si="267"/>
        <v>#N/A</v>
      </c>
      <c r="BS170" s="62" t="e">
        <f t="shared" si="267"/>
        <v>#N/A</v>
      </c>
      <c r="BT170" s="62" t="e">
        <f t="shared" si="267"/>
        <v>#N/A</v>
      </c>
      <c r="BU170" s="62" t="e">
        <f t="shared" si="267"/>
        <v>#N/A</v>
      </c>
      <c r="BV170" s="62" t="e">
        <f t="shared" si="267"/>
        <v>#N/A</v>
      </c>
      <c r="BW170" s="62" t="e">
        <f t="shared" si="267"/>
        <v>#N/A</v>
      </c>
      <c r="BX170" s="62" t="e">
        <f t="shared" si="267"/>
        <v>#N/A</v>
      </c>
      <c r="BY170" s="62" t="e">
        <f t="shared" si="267"/>
        <v>#N/A</v>
      </c>
    </row>
    <row r="171" spans="1:77" x14ac:dyDescent="0.5">
      <c r="O171" s="17"/>
      <c r="Q171" s="62">
        <v>0.38999999999999901</v>
      </c>
      <c r="R171" s="62" t="e">
        <f t="shared" si="238"/>
        <v>#DIV/0!</v>
      </c>
      <c r="S171" s="62" t="e">
        <f t="shared" si="239"/>
        <v>#DIV/0!</v>
      </c>
      <c r="T171" s="62" t="e">
        <f t="shared" si="240"/>
        <v>#DIV/0!</v>
      </c>
      <c r="U171" s="62" t="e">
        <f t="shared" si="241"/>
        <v>#DIV/0!</v>
      </c>
      <c r="V171" s="62" t="e">
        <f t="shared" si="242"/>
        <v>#DIV/0!</v>
      </c>
      <c r="W171" s="59" t="e">
        <f t="shared" si="208"/>
        <v>#DIV/0!</v>
      </c>
      <c r="X171" s="101" t="e">
        <f t="shared" si="243"/>
        <v>#DIV/0!</v>
      </c>
      <c r="Y171" s="104"/>
      <c r="AA171" s="62" t="e">
        <f t="shared" si="244"/>
        <v>#DIV/0!</v>
      </c>
      <c r="AF171" s="62">
        <v>0.92</v>
      </c>
      <c r="AG171" s="62" t="e">
        <f t="shared" si="252"/>
        <v>#DIV/0!</v>
      </c>
      <c r="AH171" s="62" t="e">
        <f t="shared" si="253"/>
        <v>#DIV/0!</v>
      </c>
      <c r="AI171" s="62" t="e">
        <f t="shared" si="268"/>
        <v>#DIV/0!</v>
      </c>
      <c r="AJ171" s="62" t="e">
        <f t="shared" si="269"/>
        <v>#DIV/0!</v>
      </c>
      <c r="AK171" s="62" t="e">
        <f t="shared" si="250"/>
        <v>#DIV/0!</v>
      </c>
      <c r="AL171" s="59" t="e">
        <f t="shared" si="263"/>
        <v>#DIV/0!</v>
      </c>
      <c r="AM171" s="101" t="e">
        <f t="shared" si="258"/>
        <v>#DIV/0!</v>
      </c>
      <c r="AN171" s="55"/>
      <c r="AP171" s="59" t="s">
        <v>8</v>
      </c>
      <c r="AQ171" s="59"/>
      <c r="AR171" s="63" t="str">
        <f t="shared" si="264"/>
        <v/>
      </c>
      <c r="AS171" s="63" t="str">
        <f t="shared" si="264"/>
        <v/>
      </c>
      <c r="AT171" s="63" t="str">
        <f t="shared" si="270"/>
        <v/>
      </c>
      <c r="AU171" s="63" t="str">
        <f t="shared" si="270"/>
        <v/>
      </c>
      <c r="AV171" s="63" t="str">
        <f t="shared" si="270"/>
        <v/>
      </c>
      <c r="AW171" s="63" t="str">
        <f t="shared" si="270"/>
        <v/>
      </c>
      <c r="AX171" s="63" t="str">
        <f t="shared" si="270"/>
        <v/>
      </c>
      <c r="AY171" s="63" t="str">
        <f t="shared" si="270"/>
        <v/>
      </c>
      <c r="AZ171" s="63" t="str">
        <f t="shared" si="270"/>
        <v/>
      </c>
      <c r="BA171" s="63" t="str">
        <f t="shared" ref="BA171:BF171" si="273">IF(BA$166=1,BA112,"")</f>
        <v/>
      </c>
      <c r="BB171" s="63" t="str">
        <f t="shared" si="273"/>
        <v/>
      </c>
      <c r="BC171" s="63" t="str">
        <f t="shared" si="273"/>
        <v/>
      </c>
      <c r="BD171" s="63" t="str">
        <f t="shared" si="273"/>
        <v/>
      </c>
      <c r="BE171" s="63" t="str">
        <f t="shared" si="273"/>
        <v/>
      </c>
      <c r="BF171" s="63" t="str">
        <f t="shared" si="273"/>
        <v/>
      </c>
      <c r="BI171" s="59" t="s">
        <v>8</v>
      </c>
      <c r="BJ171" s="59"/>
      <c r="BK171" s="62" t="e">
        <f t="shared" si="272"/>
        <v>#N/A</v>
      </c>
      <c r="BL171" s="62" t="e">
        <f t="shared" si="267"/>
        <v>#N/A</v>
      </c>
      <c r="BM171" s="62" t="e">
        <f t="shared" si="267"/>
        <v>#N/A</v>
      </c>
      <c r="BN171" s="62" t="e">
        <f t="shared" si="267"/>
        <v>#N/A</v>
      </c>
      <c r="BO171" s="62" t="e">
        <f t="shared" si="267"/>
        <v>#N/A</v>
      </c>
      <c r="BP171" s="62" t="e">
        <f t="shared" si="267"/>
        <v>#N/A</v>
      </c>
      <c r="BQ171" s="62" t="e">
        <f t="shared" si="267"/>
        <v>#N/A</v>
      </c>
      <c r="BR171" s="62" t="e">
        <f t="shared" si="267"/>
        <v>#N/A</v>
      </c>
      <c r="BS171" s="62" t="e">
        <f t="shared" si="267"/>
        <v>#N/A</v>
      </c>
      <c r="BT171" s="62" t="e">
        <f t="shared" si="267"/>
        <v>#N/A</v>
      </c>
      <c r="BU171" s="62" t="e">
        <f t="shared" si="267"/>
        <v>#N/A</v>
      </c>
      <c r="BV171" s="62" t="e">
        <f t="shared" si="267"/>
        <v>#N/A</v>
      </c>
      <c r="BW171" s="62" t="e">
        <f t="shared" si="267"/>
        <v>#N/A</v>
      </c>
      <c r="BX171" s="62" t="e">
        <f t="shared" si="267"/>
        <v>#N/A</v>
      </c>
      <c r="BY171" s="62" t="e">
        <f t="shared" si="267"/>
        <v>#N/A</v>
      </c>
    </row>
    <row r="172" spans="1:77" x14ac:dyDescent="0.5">
      <c r="O172" s="17"/>
      <c r="Q172" s="62">
        <v>0.37999999999999901</v>
      </c>
      <c r="R172" s="62" t="e">
        <f t="shared" si="238"/>
        <v>#DIV/0!</v>
      </c>
      <c r="S172" s="62" t="e">
        <f t="shared" si="239"/>
        <v>#DIV/0!</v>
      </c>
      <c r="T172" s="62" t="e">
        <f t="shared" si="240"/>
        <v>#DIV/0!</v>
      </c>
      <c r="U172" s="62" t="e">
        <f t="shared" si="241"/>
        <v>#DIV/0!</v>
      </c>
      <c r="V172" s="62" t="e">
        <f t="shared" si="242"/>
        <v>#DIV/0!</v>
      </c>
      <c r="W172" s="59" t="e">
        <f t="shared" si="208"/>
        <v>#DIV/0!</v>
      </c>
      <c r="X172" s="101" t="e">
        <f t="shared" si="243"/>
        <v>#DIV/0!</v>
      </c>
      <c r="Y172" s="104"/>
      <c r="AA172" s="62" t="e">
        <f t="shared" si="244"/>
        <v>#DIV/0!</v>
      </c>
      <c r="AF172" s="62">
        <v>0.91</v>
      </c>
      <c r="AG172" s="62" t="e">
        <f t="shared" si="252"/>
        <v>#DIV/0!</v>
      </c>
      <c r="AH172" s="62" t="e">
        <f t="shared" si="253"/>
        <v>#DIV/0!</v>
      </c>
      <c r="AI172" s="62" t="e">
        <f t="shared" si="268"/>
        <v>#DIV/0!</v>
      </c>
      <c r="AJ172" s="62" t="e">
        <f t="shared" si="269"/>
        <v>#DIV/0!</v>
      </c>
      <c r="AK172" s="62" t="e">
        <f t="shared" si="250"/>
        <v>#DIV/0!</v>
      </c>
      <c r="AL172" s="59" t="e">
        <f t="shared" si="263"/>
        <v>#DIV/0!</v>
      </c>
      <c r="AM172" s="101" t="e">
        <f t="shared" si="258"/>
        <v>#DIV/0!</v>
      </c>
      <c r="AN172" s="55"/>
      <c r="BK172" s="55"/>
      <c r="BL172" s="55"/>
      <c r="BM172" s="55"/>
      <c r="BN172" s="55"/>
      <c r="BO172" s="55"/>
      <c r="BP172" s="55"/>
      <c r="BQ172" s="55"/>
      <c r="BR172" s="55"/>
      <c r="BS172" s="55"/>
      <c r="BT172" s="55"/>
      <c r="BU172" s="55"/>
      <c r="BV172" s="55"/>
      <c r="BW172" s="55"/>
      <c r="BX172" s="55"/>
      <c r="BY172" s="55"/>
    </row>
    <row r="173" spans="1:77" x14ac:dyDescent="0.5">
      <c r="O173" s="17"/>
      <c r="Q173" s="62">
        <v>0.369999999999999</v>
      </c>
      <c r="R173" s="62" t="e">
        <f t="shared" si="238"/>
        <v>#DIV/0!</v>
      </c>
      <c r="S173" s="62" t="e">
        <f t="shared" si="239"/>
        <v>#DIV/0!</v>
      </c>
      <c r="T173" s="62" t="e">
        <f t="shared" si="240"/>
        <v>#DIV/0!</v>
      </c>
      <c r="U173" s="62" t="e">
        <f t="shared" si="241"/>
        <v>#DIV/0!</v>
      </c>
      <c r="V173" s="62" t="e">
        <f t="shared" si="242"/>
        <v>#DIV/0!</v>
      </c>
      <c r="W173" s="59" t="e">
        <f t="shared" si="208"/>
        <v>#DIV/0!</v>
      </c>
      <c r="X173" s="101" t="e">
        <f t="shared" si="243"/>
        <v>#DIV/0!</v>
      </c>
      <c r="Y173" s="104"/>
      <c r="AA173" s="62" t="e">
        <f t="shared" si="244"/>
        <v>#DIV/0!</v>
      </c>
      <c r="AF173" s="62">
        <v>0.9</v>
      </c>
      <c r="AG173" s="62" t="e">
        <f t="shared" si="252"/>
        <v>#DIV/0!</v>
      </c>
      <c r="AH173" s="62" t="e">
        <f t="shared" si="253"/>
        <v>#DIV/0!</v>
      </c>
      <c r="AI173" s="62" t="e">
        <f t="shared" si="268"/>
        <v>#DIV/0!</v>
      </c>
      <c r="AJ173" s="62" t="e">
        <f t="shared" si="269"/>
        <v>#DIV/0!</v>
      </c>
      <c r="AK173" s="62" t="e">
        <f t="shared" si="250"/>
        <v>#DIV/0!</v>
      </c>
      <c r="AL173" s="59" t="e">
        <f t="shared" si="263"/>
        <v>#DIV/0!</v>
      </c>
      <c r="AM173" s="101" t="e">
        <f t="shared" si="258"/>
        <v>#DIV/0!</v>
      </c>
      <c r="AN173" s="55"/>
      <c r="AP173" s="53" t="s">
        <v>36</v>
      </c>
      <c r="BK173" s="55"/>
      <c r="BL173" s="55"/>
      <c r="BM173" s="55"/>
      <c r="BN173" s="55"/>
      <c r="BO173" s="55"/>
      <c r="BP173" s="55"/>
      <c r="BQ173" s="55"/>
      <c r="BR173" s="55"/>
      <c r="BS173" s="55"/>
      <c r="BT173" s="55"/>
      <c r="BU173" s="55"/>
      <c r="BV173" s="55"/>
      <c r="BW173" s="55"/>
      <c r="BX173" s="55"/>
      <c r="BY173" s="55"/>
    </row>
    <row r="174" spans="1:77" x14ac:dyDescent="0.5">
      <c r="O174" s="17"/>
      <c r="Q174" s="62">
        <v>0.35999999999999899</v>
      </c>
      <c r="R174" s="62" t="e">
        <f t="shared" ref="R174:R210" si="274">U174/$AT$124</f>
        <v>#DIV/0!</v>
      </c>
      <c r="S174" s="62" t="e">
        <f t="shared" ref="S174:S210" si="275">V174/$AT$125</f>
        <v>#DIV/0!</v>
      </c>
      <c r="T174" s="62" t="e">
        <f t="shared" ref="T174:T210" si="276">$AT$119*Q174</f>
        <v>#DIV/0!</v>
      </c>
      <c r="U174" s="62" t="e">
        <f t="shared" ref="U174:U205" si="277">(1/(1+EXP($AT$122-T174/$AT$119)^$AT$121))*((T174-$AT$119)/$AT$120)+(1/(1+EXP(T174/$AT$119-$AT$122)^$AT$121))*((($AT$116-T174)*$AT$118)/(T174+$AT$117))</f>
        <v>#DIV/0!</v>
      </c>
      <c r="V174" s="62" t="e">
        <f t="shared" ref="V174:V205" si="278">T174*U174</f>
        <v>#DIV/0!</v>
      </c>
      <c r="W174" s="59" t="e">
        <f t="shared" si="208"/>
        <v>#DIV/0!</v>
      </c>
      <c r="X174" s="101" t="e">
        <f t="shared" si="243"/>
        <v>#DIV/0!</v>
      </c>
      <c r="Y174" s="104"/>
      <c r="AA174" s="62" t="e">
        <f t="shared" si="244"/>
        <v>#DIV/0!</v>
      </c>
      <c r="AF174" s="62">
        <v>0.89</v>
      </c>
      <c r="AG174" s="62" t="e">
        <f t="shared" si="252"/>
        <v>#DIV/0!</v>
      </c>
      <c r="AH174" s="62" t="e">
        <f t="shared" si="253"/>
        <v>#DIV/0!</v>
      </c>
      <c r="AI174" s="62" t="e">
        <f t="shared" si="268"/>
        <v>#DIV/0!</v>
      </c>
      <c r="AJ174" s="62" t="e">
        <f t="shared" si="269"/>
        <v>#DIV/0!</v>
      </c>
      <c r="AK174" s="62" t="e">
        <f t="shared" si="250"/>
        <v>#DIV/0!</v>
      </c>
      <c r="AL174" s="59" t="e">
        <f t="shared" si="263"/>
        <v>#DIV/0!</v>
      </c>
      <c r="AM174" s="101" t="e">
        <f t="shared" si="258"/>
        <v>#DIV/0!</v>
      </c>
      <c r="AN174" s="55"/>
      <c r="AP174" s="59" t="s">
        <v>17</v>
      </c>
      <c r="AQ174" s="59" t="s">
        <v>71</v>
      </c>
      <c r="AR174" s="63" t="s">
        <v>72</v>
      </c>
      <c r="AS174" s="63" t="s">
        <v>73</v>
      </c>
      <c r="AT174" s="63" t="s">
        <v>74</v>
      </c>
      <c r="AV174" s="63" t="s">
        <v>39</v>
      </c>
      <c r="AW174" s="63" t="e">
        <f>RSQ(AR210:BF210,AR209:BF209)</f>
        <v>#DIV/0!</v>
      </c>
      <c r="AX174" s="63" t="s">
        <v>85</v>
      </c>
      <c r="AY174" s="63" t="e">
        <f>STEYX(AR210:BF210,AR209:BF209)</f>
        <v>#DIV/0!</v>
      </c>
      <c r="AZ174" s="63" t="s">
        <v>80</v>
      </c>
      <c r="BA174" s="83">
        <f>SQRT(SUM(AR211:BF211)/(COUNT(AR211:BF211)-2))</f>
        <v>0</v>
      </c>
      <c r="BB174" s="63" t="s">
        <v>167</v>
      </c>
      <c r="BC174" s="63">
        <f>SQRT(SUM(AR215:BF215)/(COUNT(AR215:BF215)-2))</f>
        <v>0</v>
      </c>
      <c r="BD174" s="63" t="s">
        <v>174</v>
      </c>
      <c r="BE174" s="61">
        <f>SQRT(SUM(AR219:BF219)/(COUNT(AR219:BF219)-2))</f>
        <v>0</v>
      </c>
      <c r="BK174" s="55"/>
      <c r="BL174" s="55"/>
      <c r="BM174" s="55"/>
      <c r="BN174" s="55"/>
      <c r="BO174" s="55"/>
      <c r="BP174" s="55"/>
      <c r="BQ174" s="55"/>
      <c r="BR174" s="55"/>
      <c r="BS174" s="55"/>
      <c r="BT174" s="55"/>
      <c r="BU174" s="55"/>
      <c r="BV174" s="55"/>
      <c r="BW174" s="55"/>
      <c r="BX174" s="55"/>
      <c r="BY174" s="55"/>
    </row>
    <row r="175" spans="1:77" x14ac:dyDescent="0.5">
      <c r="O175" s="17"/>
      <c r="Q175" s="62">
        <v>0.34999999999999898</v>
      </c>
      <c r="R175" s="62" t="e">
        <f t="shared" si="274"/>
        <v>#DIV/0!</v>
      </c>
      <c r="S175" s="62" t="e">
        <f t="shared" si="275"/>
        <v>#DIV/0!</v>
      </c>
      <c r="T175" s="62" t="e">
        <f t="shared" si="276"/>
        <v>#DIV/0!</v>
      </c>
      <c r="U175" s="62" t="e">
        <f t="shared" si="277"/>
        <v>#DIV/0!</v>
      </c>
      <c r="V175" s="62" t="e">
        <f t="shared" si="278"/>
        <v>#DIV/0!</v>
      </c>
      <c r="W175" s="59" t="e">
        <f t="shared" si="208"/>
        <v>#DIV/0!</v>
      </c>
      <c r="X175" s="101" t="e">
        <f t="shared" ref="X175:X206" si="279">ROUND(((W174-W175)/$W$110),4)</f>
        <v>#DIV/0!</v>
      </c>
      <c r="Y175" s="104"/>
      <c r="AA175" s="62" t="e">
        <f t="shared" ref="AA175:AA210" si="280">((($AT$116-T175)*$AT$118)/(T175+$AT$117))</f>
        <v>#DIV/0!</v>
      </c>
      <c r="AF175" s="62">
        <v>0.88</v>
      </c>
      <c r="AG175" s="62" t="e">
        <f t="shared" si="252"/>
        <v>#DIV/0!</v>
      </c>
      <c r="AH175" s="62" t="e">
        <f t="shared" si="253"/>
        <v>#DIV/0!</v>
      </c>
      <c r="AI175" s="62" t="e">
        <f t="shared" si="268"/>
        <v>#DIV/0!</v>
      </c>
      <c r="AJ175" s="62" t="e">
        <f t="shared" si="269"/>
        <v>#DIV/0!</v>
      </c>
      <c r="AK175" s="62" t="e">
        <f t="shared" si="250"/>
        <v>#DIV/0!</v>
      </c>
      <c r="AL175" s="59" t="e">
        <f t="shared" si="263"/>
        <v>#DIV/0!</v>
      </c>
      <c r="AM175" s="101" t="e">
        <f t="shared" si="258"/>
        <v>#DIV/0!</v>
      </c>
      <c r="AN175" s="55"/>
      <c r="AP175" s="59" t="s">
        <v>70</v>
      </c>
      <c r="AQ175" s="102" t="e">
        <f t="shared" ref="AQ175:AR181" si="281">AQ116</f>
        <v>#DIV/0!</v>
      </c>
      <c r="AR175" s="102" t="e">
        <f t="shared" si="281"/>
        <v>#DIV/0!</v>
      </c>
      <c r="AS175" s="103" t="e">
        <f t="array" ref="AS175:AS181">para4</f>
        <v>#DIV/0!</v>
      </c>
      <c r="AT175" s="117" t="e">
        <f t="shared" ref="AT175:AT181" si="282">startval5</f>
        <v>#DIV/0!</v>
      </c>
      <c r="BD175" s="63" t="s">
        <v>175</v>
      </c>
      <c r="BE175" s="63">
        <f>BE174/100</f>
        <v>0</v>
      </c>
      <c r="BK175" s="55"/>
      <c r="BL175" s="55"/>
      <c r="BM175" s="55"/>
      <c r="BN175" s="55"/>
      <c r="BO175" s="55"/>
      <c r="BP175" s="55"/>
      <c r="BQ175" s="55"/>
      <c r="BR175" s="55"/>
      <c r="BS175" s="55"/>
      <c r="BT175" s="55"/>
      <c r="BU175" s="55"/>
      <c r="BV175" s="55"/>
      <c r="BW175" s="55"/>
      <c r="BX175" s="55"/>
      <c r="BY175" s="55"/>
    </row>
    <row r="176" spans="1:77" x14ac:dyDescent="0.5">
      <c r="O176" s="17"/>
      <c r="Q176" s="62">
        <v>0.33999999999999903</v>
      </c>
      <c r="R176" s="62" t="e">
        <f t="shared" si="274"/>
        <v>#DIV/0!</v>
      </c>
      <c r="S176" s="62" t="e">
        <f t="shared" si="275"/>
        <v>#DIV/0!</v>
      </c>
      <c r="T176" s="62" t="e">
        <f t="shared" si="276"/>
        <v>#DIV/0!</v>
      </c>
      <c r="U176" s="62" t="e">
        <f t="shared" si="277"/>
        <v>#DIV/0!</v>
      </c>
      <c r="V176" s="62" t="e">
        <f t="shared" si="278"/>
        <v>#DIV/0!</v>
      </c>
      <c r="W176" s="59" t="e">
        <f t="shared" si="208"/>
        <v>#DIV/0!</v>
      </c>
      <c r="X176" s="101" t="e">
        <f t="shared" si="279"/>
        <v>#DIV/0!</v>
      </c>
      <c r="Y176" s="104"/>
      <c r="AA176" s="62" t="e">
        <f t="shared" si="280"/>
        <v>#DIV/0!</v>
      </c>
      <c r="AF176" s="62">
        <v>0.87</v>
      </c>
      <c r="AG176" s="62" t="e">
        <f t="shared" si="252"/>
        <v>#DIV/0!</v>
      </c>
      <c r="AH176" s="62" t="e">
        <f t="shared" si="253"/>
        <v>#DIV/0!</v>
      </c>
      <c r="AI176" s="62" t="e">
        <f t="shared" si="268"/>
        <v>#DIV/0!</v>
      </c>
      <c r="AJ176" s="62" t="e">
        <f t="shared" si="269"/>
        <v>#DIV/0!</v>
      </c>
      <c r="AK176" s="62" t="e">
        <f t="shared" si="250"/>
        <v>#DIV/0!</v>
      </c>
      <c r="AL176" s="59" t="e">
        <f t="shared" si="263"/>
        <v>#DIV/0!</v>
      </c>
      <c r="AM176" s="101" t="e">
        <f t="shared" si="258"/>
        <v>#DIV/0!</v>
      </c>
      <c r="AN176" s="55"/>
      <c r="AP176" s="59" t="s">
        <v>63</v>
      </c>
      <c r="AQ176" s="102">
        <f t="shared" si="281"/>
        <v>0</v>
      </c>
      <c r="AR176" s="102" t="e">
        <f t="shared" si="281"/>
        <v>#DIV/0!</v>
      </c>
      <c r="AS176" s="103" t="e">
        <v>#DIV/0!</v>
      </c>
      <c r="AT176" s="117" t="e">
        <f t="shared" si="282"/>
        <v>#DIV/0!</v>
      </c>
      <c r="AV176" s="63" t="s">
        <v>169</v>
      </c>
      <c r="AW176" s="63" t="s">
        <v>159</v>
      </c>
      <c r="AX176" s="63" t="s">
        <v>170</v>
      </c>
      <c r="AZ176" s="63" t="s">
        <v>171</v>
      </c>
      <c r="BA176" s="86">
        <f>(SEE_4*AW177)+(BC174*AX177)+BE175</f>
        <v>0</v>
      </c>
      <c r="BK176" s="55"/>
      <c r="BL176" s="55"/>
      <c r="BM176" s="55"/>
      <c r="BN176" s="55"/>
      <c r="BO176" s="55"/>
      <c r="BP176" s="55"/>
      <c r="BQ176" s="55"/>
      <c r="BR176" s="55"/>
      <c r="BS176" s="55"/>
      <c r="BT176" s="55"/>
      <c r="BU176" s="55"/>
      <c r="BV176" s="55"/>
      <c r="BW176" s="55"/>
      <c r="BX176" s="55"/>
      <c r="BY176" s="55"/>
    </row>
    <row r="177" spans="15:77" x14ac:dyDescent="0.5">
      <c r="O177" s="17"/>
      <c r="Q177" s="62">
        <v>0.32999999999999902</v>
      </c>
      <c r="R177" s="62" t="e">
        <f t="shared" si="274"/>
        <v>#DIV/0!</v>
      </c>
      <c r="S177" s="62" t="e">
        <f t="shared" si="275"/>
        <v>#DIV/0!</v>
      </c>
      <c r="T177" s="62" t="e">
        <f t="shared" si="276"/>
        <v>#DIV/0!</v>
      </c>
      <c r="U177" s="62" t="e">
        <f t="shared" si="277"/>
        <v>#DIV/0!</v>
      </c>
      <c r="V177" s="62" t="e">
        <f t="shared" si="278"/>
        <v>#DIV/0!</v>
      </c>
      <c r="W177" s="59" t="e">
        <f t="shared" si="208"/>
        <v>#DIV/0!</v>
      </c>
      <c r="X177" s="101" t="e">
        <f t="shared" si="279"/>
        <v>#DIV/0!</v>
      </c>
      <c r="Y177" s="104"/>
      <c r="AA177" s="62" t="e">
        <f t="shared" si="280"/>
        <v>#DIV/0!</v>
      </c>
      <c r="AF177" s="62">
        <v>0.86</v>
      </c>
      <c r="AG177" s="62" t="e">
        <f t="shared" si="252"/>
        <v>#DIV/0!</v>
      </c>
      <c r="AH177" s="62" t="e">
        <f t="shared" si="253"/>
        <v>#DIV/0!</v>
      </c>
      <c r="AI177" s="62" t="e">
        <f t="shared" si="268"/>
        <v>#DIV/0!</v>
      </c>
      <c r="AJ177" s="62" t="e">
        <f t="shared" si="269"/>
        <v>#DIV/0!</v>
      </c>
      <c r="AK177" s="62" t="e">
        <f t="shared" si="250"/>
        <v>#DIV/0!</v>
      </c>
      <c r="AL177" s="59" t="e">
        <f t="shared" si="263"/>
        <v>#DIV/0!</v>
      </c>
      <c r="AM177" s="101" t="e">
        <f t="shared" si="258"/>
        <v>#DIV/0!</v>
      </c>
      <c r="AN177" s="55"/>
      <c r="AP177" s="59" t="s">
        <v>64</v>
      </c>
      <c r="AQ177" s="102">
        <f t="shared" si="281"/>
        <v>0</v>
      </c>
      <c r="AR177" s="102" t="e">
        <f t="shared" si="281"/>
        <v>#DIV/0!</v>
      </c>
      <c r="AS177" s="103" t="e">
        <v>#DIV/0!</v>
      </c>
      <c r="AT177" s="117" t="e">
        <f t="shared" si="282"/>
        <v>#DIV/0!</v>
      </c>
      <c r="AW177" s="63">
        <v>0.55000000000000004</v>
      </c>
      <c r="AX177" s="63">
        <f>1-AW177</f>
        <v>0.44999999999999996</v>
      </c>
      <c r="BK177" s="55"/>
      <c r="BL177" s="55"/>
      <c r="BM177" s="55"/>
      <c r="BN177" s="55"/>
      <c r="BO177" s="55"/>
      <c r="BP177" s="55"/>
      <c r="BQ177" s="55"/>
      <c r="BR177" s="55"/>
      <c r="BS177" s="55"/>
      <c r="BT177" s="55"/>
      <c r="BU177" s="55"/>
      <c r="BV177" s="55"/>
      <c r="BW177" s="55"/>
      <c r="BX177" s="55"/>
      <c r="BY177" s="55"/>
    </row>
    <row r="178" spans="15:77" x14ac:dyDescent="0.5">
      <c r="O178" s="17"/>
      <c r="Q178" s="62">
        <v>0.31999999999999901</v>
      </c>
      <c r="R178" s="62" t="e">
        <f t="shared" si="274"/>
        <v>#DIV/0!</v>
      </c>
      <c r="S178" s="62" t="e">
        <f t="shared" si="275"/>
        <v>#DIV/0!</v>
      </c>
      <c r="T178" s="62" t="e">
        <f t="shared" si="276"/>
        <v>#DIV/0!</v>
      </c>
      <c r="U178" s="62" t="e">
        <f t="shared" si="277"/>
        <v>#DIV/0!</v>
      </c>
      <c r="V178" s="62" t="e">
        <f t="shared" si="278"/>
        <v>#DIV/0!</v>
      </c>
      <c r="W178" s="59" t="e">
        <f t="shared" si="208"/>
        <v>#DIV/0!</v>
      </c>
      <c r="X178" s="101" t="e">
        <f t="shared" si="279"/>
        <v>#DIV/0!</v>
      </c>
      <c r="Y178" s="104"/>
      <c r="AA178" s="62" t="e">
        <f t="shared" si="280"/>
        <v>#DIV/0!</v>
      </c>
      <c r="AF178" s="62">
        <v>0.85</v>
      </c>
      <c r="AG178" s="62" t="e">
        <f t="shared" si="252"/>
        <v>#DIV/0!</v>
      </c>
      <c r="AH178" s="62" t="e">
        <f t="shared" si="253"/>
        <v>#DIV/0!</v>
      </c>
      <c r="AI178" s="62" t="e">
        <f t="shared" si="268"/>
        <v>#DIV/0!</v>
      </c>
      <c r="AJ178" s="62" t="e">
        <f t="shared" si="269"/>
        <v>#DIV/0!</v>
      </c>
      <c r="AK178" s="62" t="e">
        <f t="shared" si="250"/>
        <v>#DIV/0!</v>
      </c>
      <c r="AL178" s="59" t="e">
        <f t="shared" si="263"/>
        <v>#DIV/0!</v>
      </c>
      <c r="AM178" s="101" t="e">
        <f t="shared" si="258"/>
        <v>#DIV/0!</v>
      </c>
      <c r="AN178" s="55"/>
      <c r="AP178" s="59" t="s">
        <v>2</v>
      </c>
      <c r="AQ178" s="102" t="e">
        <f t="shared" si="281"/>
        <v>#DIV/0!</v>
      </c>
      <c r="AR178" s="102" t="e">
        <f t="shared" si="281"/>
        <v>#DIV/0!</v>
      </c>
      <c r="AS178" s="103" t="e">
        <v>#DIV/0!</v>
      </c>
      <c r="AT178" s="117" t="e">
        <f t="shared" si="282"/>
        <v>#DIV/0!</v>
      </c>
      <c r="AV178" s="55"/>
      <c r="AW178" s="55"/>
      <c r="AX178" s="55"/>
      <c r="AY178" s="55"/>
      <c r="BK178" s="55"/>
      <c r="BL178" s="55"/>
      <c r="BM178" s="55"/>
      <c r="BN178" s="55"/>
      <c r="BO178" s="55"/>
      <c r="BP178" s="55"/>
      <c r="BQ178" s="55"/>
      <c r="BR178" s="55"/>
      <c r="BS178" s="55"/>
      <c r="BT178" s="55"/>
      <c r="BU178" s="55"/>
      <c r="BV178" s="55"/>
      <c r="BW178" s="55"/>
      <c r="BX178" s="55"/>
      <c r="BY178" s="55"/>
    </row>
    <row r="179" spans="15:77" x14ac:dyDescent="0.5">
      <c r="O179" s="17"/>
      <c r="Q179" s="62">
        <v>0.309999999999999</v>
      </c>
      <c r="R179" s="62" t="e">
        <f t="shared" si="274"/>
        <v>#DIV/0!</v>
      </c>
      <c r="S179" s="62" t="e">
        <f t="shared" si="275"/>
        <v>#DIV/0!</v>
      </c>
      <c r="T179" s="62" t="e">
        <f t="shared" si="276"/>
        <v>#DIV/0!</v>
      </c>
      <c r="U179" s="62" t="e">
        <f t="shared" si="277"/>
        <v>#DIV/0!</v>
      </c>
      <c r="V179" s="62" t="e">
        <f t="shared" si="278"/>
        <v>#DIV/0!</v>
      </c>
      <c r="W179" s="59" t="e">
        <f t="shared" si="208"/>
        <v>#DIV/0!</v>
      </c>
      <c r="X179" s="101" t="e">
        <f t="shared" si="279"/>
        <v>#DIV/0!</v>
      </c>
      <c r="Y179" s="104"/>
      <c r="AA179" s="62" t="e">
        <f t="shared" si="280"/>
        <v>#DIV/0!</v>
      </c>
      <c r="AF179" s="62">
        <v>0.84</v>
      </c>
      <c r="AG179" s="62" t="e">
        <f t="shared" si="252"/>
        <v>#DIV/0!</v>
      </c>
      <c r="AH179" s="62" t="e">
        <f t="shared" si="253"/>
        <v>#DIV/0!</v>
      </c>
      <c r="AI179" s="62" t="e">
        <f t="shared" si="268"/>
        <v>#DIV/0!</v>
      </c>
      <c r="AJ179" s="62" t="e">
        <f t="shared" si="269"/>
        <v>#DIV/0!</v>
      </c>
      <c r="AK179" s="62" t="e">
        <f t="shared" si="250"/>
        <v>#DIV/0!</v>
      </c>
      <c r="AL179" s="59" t="e">
        <f t="shared" si="263"/>
        <v>#DIV/0!</v>
      </c>
      <c r="AM179" s="101" t="e">
        <f t="shared" si="258"/>
        <v>#DIV/0!</v>
      </c>
      <c r="AN179" s="55"/>
      <c r="AP179" s="59" t="s">
        <v>37</v>
      </c>
      <c r="AQ179" s="102" t="e">
        <f t="shared" si="281"/>
        <v>#DIV/0!</v>
      </c>
      <c r="AR179" s="102">
        <f t="shared" si="281"/>
        <v>0</v>
      </c>
      <c r="AS179" s="103" t="e">
        <v>#DIV/0!</v>
      </c>
      <c r="AT179" s="117" t="e">
        <f t="shared" si="282"/>
        <v>#DIV/0!</v>
      </c>
      <c r="AV179" s="87" t="s">
        <v>113</v>
      </c>
      <c r="AW179" s="88"/>
      <c r="AX179" s="88"/>
      <c r="AY179" s="88"/>
      <c r="AZ179" s="88"/>
      <c r="BA179" s="88"/>
      <c r="BB179" s="88"/>
      <c r="BC179" s="88"/>
      <c r="BD179" s="88"/>
      <c r="BE179" s="88"/>
      <c r="BF179" s="89"/>
      <c r="BK179" s="55"/>
      <c r="BL179" s="55"/>
      <c r="BM179" s="55"/>
      <c r="BN179" s="55"/>
      <c r="BO179" s="55"/>
      <c r="BP179" s="55"/>
      <c r="BQ179" s="55"/>
      <c r="BR179" s="55"/>
      <c r="BS179" s="55"/>
      <c r="BT179" s="55"/>
      <c r="BU179" s="55"/>
      <c r="BV179" s="55"/>
      <c r="BW179" s="55"/>
      <c r="BX179" s="55"/>
      <c r="BY179" s="55"/>
    </row>
    <row r="180" spans="15:77" x14ac:dyDescent="0.5">
      <c r="O180" s="17"/>
      <c r="Q180" s="62">
        <v>0.29999999999999899</v>
      </c>
      <c r="R180" s="62" t="e">
        <f t="shared" si="274"/>
        <v>#DIV/0!</v>
      </c>
      <c r="S180" s="62" t="e">
        <f t="shared" si="275"/>
        <v>#DIV/0!</v>
      </c>
      <c r="T180" s="62" t="e">
        <f t="shared" si="276"/>
        <v>#DIV/0!</v>
      </c>
      <c r="U180" s="62" t="e">
        <f t="shared" si="277"/>
        <v>#DIV/0!</v>
      </c>
      <c r="V180" s="62" t="e">
        <f t="shared" si="278"/>
        <v>#DIV/0!</v>
      </c>
      <c r="W180" s="59" t="e">
        <f t="shared" si="208"/>
        <v>#DIV/0!</v>
      </c>
      <c r="X180" s="101" t="e">
        <f t="shared" si="279"/>
        <v>#DIV/0!</v>
      </c>
      <c r="Y180" s="104"/>
      <c r="AA180" s="62" t="e">
        <f t="shared" si="280"/>
        <v>#DIV/0!</v>
      </c>
      <c r="AF180" s="62">
        <v>0.83</v>
      </c>
      <c r="AG180" s="62" t="e">
        <f t="shared" si="252"/>
        <v>#DIV/0!</v>
      </c>
      <c r="AH180" s="62" t="e">
        <f t="shared" si="253"/>
        <v>#DIV/0!</v>
      </c>
      <c r="AI180" s="62" t="e">
        <f t="shared" si="268"/>
        <v>#DIV/0!</v>
      </c>
      <c r="AJ180" s="62" t="e">
        <f t="shared" si="269"/>
        <v>#DIV/0!</v>
      </c>
      <c r="AK180" s="62" t="e">
        <f t="shared" si="250"/>
        <v>#DIV/0!</v>
      </c>
      <c r="AL180" s="59" t="e">
        <f t="shared" si="263"/>
        <v>#DIV/0!</v>
      </c>
      <c r="AM180" s="101" t="e">
        <f t="shared" si="258"/>
        <v>#DIV/0!</v>
      </c>
      <c r="AN180" s="55"/>
      <c r="AP180" s="59" t="s">
        <v>65</v>
      </c>
      <c r="AQ180" s="102">
        <f t="shared" si="281"/>
        <v>20</v>
      </c>
      <c r="AR180" s="102">
        <f t="shared" si="281"/>
        <v>20</v>
      </c>
      <c r="AS180" s="103">
        <v>20</v>
      </c>
      <c r="AT180" s="117">
        <f t="shared" si="282"/>
        <v>20</v>
      </c>
      <c r="AV180" s="90"/>
      <c r="AY180" s="52" t="s">
        <v>115</v>
      </c>
      <c r="AZ180" s="52" t="s">
        <v>116</v>
      </c>
      <c r="BF180" s="91"/>
      <c r="BK180" s="55"/>
      <c r="BL180" s="55"/>
      <c r="BM180" s="55"/>
      <c r="BN180" s="55"/>
      <c r="BO180" s="55"/>
      <c r="BP180" s="55"/>
      <c r="BQ180" s="55"/>
      <c r="BR180" s="55"/>
      <c r="BS180" s="55"/>
      <c r="BT180" s="55"/>
      <c r="BU180" s="55"/>
      <c r="BV180" s="55"/>
      <c r="BW180" s="55"/>
      <c r="BX180" s="55"/>
      <c r="BY180" s="55"/>
    </row>
    <row r="181" spans="15:77" x14ac:dyDescent="0.5">
      <c r="O181" s="17"/>
      <c r="Q181" s="62">
        <v>0.28999999999999898</v>
      </c>
      <c r="R181" s="62" t="e">
        <f t="shared" si="274"/>
        <v>#DIV/0!</v>
      </c>
      <c r="S181" s="62" t="e">
        <f t="shared" si="275"/>
        <v>#DIV/0!</v>
      </c>
      <c r="T181" s="62" t="e">
        <f t="shared" si="276"/>
        <v>#DIV/0!</v>
      </c>
      <c r="U181" s="62" t="e">
        <f t="shared" si="277"/>
        <v>#DIV/0!</v>
      </c>
      <c r="V181" s="62" t="e">
        <f t="shared" si="278"/>
        <v>#DIV/0!</v>
      </c>
      <c r="W181" s="59" t="e">
        <f t="shared" si="208"/>
        <v>#DIV/0!</v>
      </c>
      <c r="X181" s="101" t="e">
        <f t="shared" si="279"/>
        <v>#DIV/0!</v>
      </c>
      <c r="Y181" s="104"/>
      <c r="AA181" s="62" t="e">
        <f t="shared" si="280"/>
        <v>#DIV/0!</v>
      </c>
      <c r="AF181" s="62">
        <v>0.82</v>
      </c>
      <c r="AG181" s="62" t="e">
        <f t="shared" si="252"/>
        <v>#DIV/0!</v>
      </c>
      <c r="AH181" s="62" t="e">
        <f t="shared" si="253"/>
        <v>#DIV/0!</v>
      </c>
      <c r="AI181" s="62" t="e">
        <f t="shared" si="268"/>
        <v>#DIV/0!</v>
      </c>
      <c r="AJ181" s="62" t="e">
        <f t="shared" si="269"/>
        <v>#DIV/0!</v>
      </c>
      <c r="AK181" s="62" t="e">
        <f t="shared" si="250"/>
        <v>#DIV/0!</v>
      </c>
      <c r="AL181" s="59" t="e">
        <f t="shared" si="263"/>
        <v>#DIV/0!</v>
      </c>
      <c r="AM181" s="101" t="e">
        <f t="shared" si="258"/>
        <v>#DIV/0!</v>
      </c>
      <c r="AN181" s="55"/>
      <c r="AP181" s="59" t="s">
        <v>66</v>
      </c>
      <c r="AQ181" s="102">
        <f t="shared" si="281"/>
        <v>0.3</v>
      </c>
      <c r="AR181" s="102">
        <f t="shared" si="281"/>
        <v>0.55000000000000004</v>
      </c>
      <c r="AS181" s="103">
        <v>0.45</v>
      </c>
      <c r="AT181" s="117">
        <f t="shared" si="282"/>
        <v>0.45</v>
      </c>
      <c r="AV181" s="90" t="s">
        <v>114</v>
      </c>
      <c r="AY181" s="52">
        <v>0.02</v>
      </c>
      <c r="AZ181" s="93">
        <v>1</v>
      </c>
      <c r="BA181" s="52" t="s">
        <v>110</v>
      </c>
      <c r="BC181" s="52" t="s">
        <v>176</v>
      </c>
      <c r="BF181" s="91"/>
      <c r="BK181" s="55"/>
      <c r="BL181" s="55"/>
      <c r="BM181" s="55"/>
      <c r="BN181" s="55"/>
      <c r="BO181" s="55"/>
      <c r="BP181" s="55"/>
      <c r="BQ181" s="55"/>
      <c r="BR181" s="55"/>
      <c r="BS181" s="55"/>
      <c r="BT181" s="55"/>
      <c r="BU181" s="55"/>
      <c r="BV181" s="55"/>
      <c r="BW181" s="55"/>
      <c r="BX181" s="55"/>
      <c r="BY181" s="55"/>
    </row>
    <row r="182" spans="15:77" x14ac:dyDescent="0.5">
      <c r="O182" s="17"/>
      <c r="Q182" s="62">
        <v>0.27999999999999903</v>
      </c>
      <c r="R182" s="62" t="e">
        <f t="shared" si="274"/>
        <v>#DIV/0!</v>
      </c>
      <c r="S182" s="62" t="e">
        <f t="shared" si="275"/>
        <v>#DIV/0!</v>
      </c>
      <c r="T182" s="62" t="e">
        <f t="shared" si="276"/>
        <v>#DIV/0!</v>
      </c>
      <c r="U182" s="62" t="e">
        <f t="shared" si="277"/>
        <v>#DIV/0!</v>
      </c>
      <c r="V182" s="62" t="e">
        <f t="shared" si="278"/>
        <v>#DIV/0!</v>
      </c>
      <c r="W182" s="59" t="e">
        <f t="shared" si="208"/>
        <v>#DIV/0!</v>
      </c>
      <c r="X182" s="101" t="e">
        <f t="shared" si="279"/>
        <v>#DIV/0!</v>
      </c>
      <c r="Y182" s="104"/>
      <c r="AA182" s="62" t="e">
        <f t="shared" si="280"/>
        <v>#DIV/0!</v>
      </c>
      <c r="AF182" s="62">
        <v>0.81</v>
      </c>
      <c r="AG182" s="62" t="e">
        <f t="shared" si="252"/>
        <v>#DIV/0!</v>
      </c>
      <c r="AH182" s="62" t="e">
        <f t="shared" si="253"/>
        <v>#DIV/0!</v>
      </c>
      <c r="AI182" s="62" t="e">
        <f t="shared" si="268"/>
        <v>#DIV/0!</v>
      </c>
      <c r="AJ182" s="62" t="e">
        <f t="shared" si="269"/>
        <v>#DIV/0!</v>
      </c>
      <c r="AK182" s="62" t="e">
        <f t="shared" si="250"/>
        <v>#DIV/0!</v>
      </c>
      <c r="AL182" s="59" t="e">
        <f t="shared" si="263"/>
        <v>#DIV/0!</v>
      </c>
      <c r="AM182" s="101" t="e">
        <f t="shared" si="258"/>
        <v>#DIV/0!</v>
      </c>
      <c r="AN182" s="55"/>
      <c r="AV182" s="90"/>
      <c r="BF182" s="91"/>
      <c r="BK182" s="55"/>
      <c r="BL182" s="55"/>
      <c r="BM182" s="55"/>
      <c r="BN182" s="55"/>
      <c r="BO182" s="55"/>
      <c r="BP182" s="55"/>
      <c r="BQ182" s="55"/>
      <c r="BR182" s="55"/>
      <c r="BS182" s="55"/>
      <c r="BT182" s="55"/>
      <c r="BU182" s="55"/>
      <c r="BV182" s="55"/>
      <c r="BW182" s="55"/>
      <c r="BX182" s="55"/>
      <c r="BY182" s="55"/>
    </row>
    <row r="183" spans="15:77" x14ac:dyDescent="0.5">
      <c r="O183" s="17"/>
      <c r="Q183" s="62">
        <v>0.26999999999999902</v>
      </c>
      <c r="R183" s="62" t="e">
        <f t="shared" si="274"/>
        <v>#DIV/0!</v>
      </c>
      <c r="S183" s="62" t="e">
        <f t="shared" si="275"/>
        <v>#DIV/0!</v>
      </c>
      <c r="T183" s="62" t="e">
        <f t="shared" si="276"/>
        <v>#DIV/0!</v>
      </c>
      <c r="U183" s="62" t="e">
        <f t="shared" si="277"/>
        <v>#DIV/0!</v>
      </c>
      <c r="V183" s="62" t="e">
        <f t="shared" si="278"/>
        <v>#DIV/0!</v>
      </c>
      <c r="W183" s="59" t="e">
        <f t="shared" si="208"/>
        <v>#DIV/0!</v>
      </c>
      <c r="X183" s="101" t="e">
        <f t="shared" si="279"/>
        <v>#DIV/0!</v>
      </c>
      <c r="Y183" s="104"/>
      <c r="AA183" s="62" t="e">
        <f t="shared" si="280"/>
        <v>#DIV/0!</v>
      </c>
      <c r="AF183" s="62">
        <v>0.8</v>
      </c>
      <c r="AG183" s="62" t="e">
        <f t="shared" si="252"/>
        <v>#DIV/0!</v>
      </c>
      <c r="AH183" s="62" t="e">
        <f t="shared" si="253"/>
        <v>#DIV/0!</v>
      </c>
      <c r="AI183" s="62" t="e">
        <f t="shared" si="268"/>
        <v>#DIV/0!</v>
      </c>
      <c r="AJ183" s="62" t="e">
        <f t="shared" si="269"/>
        <v>#DIV/0!</v>
      </c>
      <c r="AK183" s="62" t="e">
        <f t="shared" si="250"/>
        <v>#DIV/0!</v>
      </c>
      <c r="AL183" s="59" t="e">
        <f t="shared" si="263"/>
        <v>#DIV/0!</v>
      </c>
      <c r="AM183" s="101" t="e">
        <f t="shared" si="258"/>
        <v>#DIV/0!</v>
      </c>
      <c r="AN183" s="55"/>
      <c r="AP183" s="59" t="s">
        <v>67</v>
      </c>
      <c r="AT183" s="63" t="e">
        <f>AJ263</f>
        <v>#DIV/0!</v>
      </c>
      <c r="AV183" s="94"/>
      <c r="AW183" s="95"/>
      <c r="AX183" s="95"/>
      <c r="AY183" s="95"/>
      <c r="AZ183" s="95"/>
      <c r="BA183" s="95"/>
      <c r="BB183" s="95"/>
      <c r="BC183" s="95"/>
      <c r="BD183" s="95"/>
      <c r="BE183" s="95"/>
      <c r="BF183" s="96"/>
      <c r="BK183" s="55"/>
      <c r="BL183" s="55"/>
      <c r="BM183" s="55"/>
      <c r="BN183" s="55"/>
      <c r="BO183" s="55"/>
      <c r="BP183" s="55"/>
      <c r="BQ183" s="55"/>
      <c r="BR183" s="55"/>
      <c r="BS183" s="55"/>
      <c r="BT183" s="55"/>
      <c r="BU183" s="55"/>
      <c r="BV183" s="55"/>
      <c r="BW183" s="55"/>
      <c r="BX183" s="55"/>
      <c r="BY183" s="55"/>
    </row>
    <row r="184" spans="15:77" x14ac:dyDescent="0.5">
      <c r="O184" s="17"/>
      <c r="Q184" s="62">
        <v>0.25999999999999901</v>
      </c>
      <c r="R184" s="62" t="e">
        <f t="shared" si="274"/>
        <v>#DIV/0!</v>
      </c>
      <c r="S184" s="62" t="e">
        <f t="shared" si="275"/>
        <v>#DIV/0!</v>
      </c>
      <c r="T184" s="62" t="e">
        <f t="shared" si="276"/>
        <v>#DIV/0!</v>
      </c>
      <c r="U184" s="62" t="e">
        <f t="shared" si="277"/>
        <v>#DIV/0!</v>
      </c>
      <c r="V184" s="62" t="e">
        <f t="shared" si="278"/>
        <v>#DIV/0!</v>
      </c>
      <c r="W184" s="59" t="e">
        <f t="shared" ref="W184:W205" si="283">ROUND(SLOPE(T179:T189,U179:U189),0)</f>
        <v>#DIV/0!</v>
      </c>
      <c r="X184" s="101" t="e">
        <f t="shared" si="279"/>
        <v>#DIV/0!</v>
      </c>
      <c r="Y184" s="104"/>
      <c r="AA184" s="62" t="e">
        <f t="shared" si="280"/>
        <v>#DIV/0!</v>
      </c>
      <c r="AF184" s="62">
        <v>0.79</v>
      </c>
      <c r="AG184" s="62" t="e">
        <f t="shared" si="252"/>
        <v>#DIV/0!</v>
      </c>
      <c r="AH184" s="62" t="e">
        <f t="shared" si="253"/>
        <v>#DIV/0!</v>
      </c>
      <c r="AI184" s="62" t="e">
        <f t="shared" si="268"/>
        <v>#DIV/0!</v>
      </c>
      <c r="AJ184" s="62" t="e">
        <f t="shared" si="269"/>
        <v>#DIV/0!</v>
      </c>
      <c r="AK184" s="62" t="e">
        <f t="shared" si="250"/>
        <v>#DIV/0!</v>
      </c>
      <c r="AL184" s="59" t="e">
        <f t="shared" si="263"/>
        <v>#DIV/0!</v>
      </c>
      <c r="AM184" s="101" t="e">
        <f t="shared" si="258"/>
        <v>#DIV/0!</v>
      </c>
      <c r="AN184" s="55"/>
      <c r="AP184" s="59" t="s">
        <v>1</v>
      </c>
      <c r="AT184" s="63" t="e">
        <f>MAX(AK163:AK263)</f>
        <v>#DIV/0!</v>
      </c>
      <c r="AV184" s="90" t="s">
        <v>166</v>
      </c>
      <c r="BA184" s="52" t="s">
        <v>110</v>
      </c>
      <c r="BF184" s="91"/>
      <c r="BK184" s="55"/>
      <c r="BL184" s="55"/>
      <c r="BM184" s="55"/>
      <c r="BN184" s="55"/>
      <c r="BO184" s="55"/>
      <c r="BP184" s="55"/>
      <c r="BQ184" s="55"/>
      <c r="BR184" s="55"/>
      <c r="BS184" s="55"/>
      <c r="BT184" s="55"/>
      <c r="BU184" s="55"/>
      <c r="BV184" s="55"/>
      <c r="BW184" s="55"/>
      <c r="BX184" s="55"/>
      <c r="BY184" s="55"/>
    </row>
    <row r="185" spans="15:77" x14ac:dyDescent="0.5">
      <c r="O185" s="17"/>
      <c r="Q185" s="62">
        <v>0.249999999999999</v>
      </c>
      <c r="R185" s="62" t="e">
        <f t="shared" si="274"/>
        <v>#DIV/0!</v>
      </c>
      <c r="S185" s="62" t="e">
        <f t="shared" si="275"/>
        <v>#DIV/0!</v>
      </c>
      <c r="T185" s="62" t="e">
        <f t="shared" si="276"/>
        <v>#DIV/0!</v>
      </c>
      <c r="U185" s="62" t="e">
        <f t="shared" si="277"/>
        <v>#DIV/0!</v>
      </c>
      <c r="V185" s="62" t="e">
        <f t="shared" si="278"/>
        <v>#DIV/0!</v>
      </c>
      <c r="W185" s="59" t="e">
        <f t="shared" si="283"/>
        <v>#DIV/0!</v>
      </c>
      <c r="X185" s="101" t="e">
        <f t="shared" si="279"/>
        <v>#DIV/0!</v>
      </c>
      <c r="Y185" s="104"/>
      <c r="AA185" s="62" t="e">
        <f t="shared" si="280"/>
        <v>#DIV/0!</v>
      </c>
      <c r="AF185" s="62">
        <v>0.78</v>
      </c>
      <c r="AG185" s="62" t="e">
        <f t="shared" si="252"/>
        <v>#DIV/0!</v>
      </c>
      <c r="AH185" s="62" t="e">
        <f t="shared" si="253"/>
        <v>#DIV/0!</v>
      </c>
      <c r="AI185" s="62" t="e">
        <f t="shared" si="268"/>
        <v>#DIV/0!</v>
      </c>
      <c r="AJ185" s="62" t="e">
        <f t="shared" si="269"/>
        <v>#DIV/0!</v>
      </c>
      <c r="AK185" s="62" t="e">
        <f t="shared" si="250"/>
        <v>#DIV/0!</v>
      </c>
      <c r="AL185" s="59" t="e">
        <f t="shared" si="263"/>
        <v>#DIV/0!</v>
      </c>
      <c r="AM185" s="101" t="e">
        <f t="shared" si="258"/>
        <v>#DIV/0!</v>
      </c>
      <c r="AN185" s="55"/>
      <c r="AP185" s="59" t="s">
        <v>9</v>
      </c>
      <c r="AT185" s="63" t="e">
        <f>INDEX(AI163:AI263,MATCH(AT184,AK163:AK263,0))</f>
        <v>#DIV/0!</v>
      </c>
      <c r="AV185" s="90">
        <f>AV126</f>
        <v>0.85</v>
      </c>
      <c r="BC185" s="52" t="s">
        <v>168</v>
      </c>
      <c r="BF185" s="91"/>
      <c r="BK185" s="55"/>
      <c r="BL185" s="55"/>
      <c r="BM185" s="55"/>
      <c r="BN185" s="55"/>
      <c r="BO185" s="55"/>
      <c r="BP185" s="55"/>
      <c r="BQ185" s="55"/>
      <c r="BR185" s="55"/>
      <c r="BS185" s="55"/>
      <c r="BT185" s="55"/>
      <c r="BU185" s="55"/>
      <c r="BV185" s="55"/>
      <c r="BW185" s="55"/>
      <c r="BX185" s="55"/>
      <c r="BY185" s="55"/>
    </row>
    <row r="186" spans="15:77" x14ac:dyDescent="0.5">
      <c r="O186" s="17"/>
      <c r="Q186" s="62">
        <v>0.23999999999999899</v>
      </c>
      <c r="R186" s="62" t="e">
        <f t="shared" si="274"/>
        <v>#DIV/0!</v>
      </c>
      <c r="S186" s="62" t="e">
        <f t="shared" si="275"/>
        <v>#DIV/0!</v>
      </c>
      <c r="T186" s="62" t="e">
        <f t="shared" si="276"/>
        <v>#DIV/0!</v>
      </c>
      <c r="U186" s="62" t="e">
        <f t="shared" si="277"/>
        <v>#DIV/0!</v>
      </c>
      <c r="V186" s="62" t="e">
        <f t="shared" si="278"/>
        <v>#DIV/0!</v>
      </c>
      <c r="W186" s="59" t="e">
        <f t="shared" si="283"/>
        <v>#DIV/0!</v>
      </c>
      <c r="X186" s="101" t="e">
        <f t="shared" si="279"/>
        <v>#DIV/0!</v>
      </c>
      <c r="Y186" s="104"/>
      <c r="AA186" s="62" t="e">
        <f t="shared" si="280"/>
        <v>#DIV/0!</v>
      </c>
      <c r="AF186" s="62">
        <v>0.77</v>
      </c>
      <c r="AG186" s="62" t="e">
        <f t="shared" si="252"/>
        <v>#DIV/0!</v>
      </c>
      <c r="AH186" s="62" t="e">
        <f t="shared" si="253"/>
        <v>#DIV/0!</v>
      </c>
      <c r="AI186" s="62" t="e">
        <f t="shared" si="268"/>
        <v>#DIV/0!</v>
      </c>
      <c r="AJ186" s="62" t="e">
        <f t="shared" si="269"/>
        <v>#DIV/0!</v>
      </c>
      <c r="AK186" s="62" t="e">
        <f t="shared" si="250"/>
        <v>#DIV/0!</v>
      </c>
      <c r="AL186" s="59" t="e">
        <f t="shared" si="263"/>
        <v>#DIV/0!</v>
      </c>
      <c r="AM186" s="101" t="e">
        <f t="shared" si="258"/>
        <v>#DIV/0!</v>
      </c>
      <c r="AN186" s="55"/>
      <c r="AP186" s="59" t="s">
        <v>10</v>
      </c>
      <c r="AT186" s="63" t="e">
        <f>INDEX(AJ163:AJ263,MATCH(AT184,AK163:AK263,0))</f>
        <v>#DIV/0!</v>
      </c>
      <c r="AV186" s="97"/>
      <c r="AW186" s="98"/>
      <c r="AX186" s="98"/>
      <c r="AY186" s="98"/>
      <c r="AZ186" s="98"/>
      <c r="BA186" s="98"/>
      <c r="BB186" s="98"/>
      <c r="BC186" s="98"/>
      <c r="BD186" s="98"/>
      <c r="BE186" s="98"/>
      <c r="BF186" s="99"/>
      <c r="BK186" s="55"/>
      <c r="BL186" s="55"/>
      <c r="BM186" s="55"/>
      <c r="BN186" s="55"/>
      <c r="BO186" s="55"/>
      <c r="BP186" s="55"/>
      <c r="BQ186" s="55"/>
      <c r="BR186" s="55"/>
      <c r="BS186" s="55"/>
      <c r="BT186" s="55"/>
      <c r="BU186" s="55"/>
      <c r="BV186" s="55"/>
      <c r="BW186" s="55"/>
      <c r="BX186" s="55"/>
      <c r="BY186" s="55"/>
    </row>
    <row r="187" spans="15:77" x14ac:dyDescent="0.5">
      <c r="O187" s="17"/>
      <c r="Q187" s="62">
        <v>0.22999999999999901</v>
      </c>
      <c r="R187" s="62" t="e">
        <f t="shared" si="274"/>
        <v>#DIV/0!</v>
      </c>
      <c r="S187" s="62" t="e">
        <f t="shared" si="275"/>
        <v>#DIV/0!</v>
      </c>
      <c r="T187" s="62" t="e">
        <f t="shared" si="276"/>
        <v>#DIV/0!</v>
      </c>
      <c r="U187" s="62" t="e">
        <f t="shared" si="277"/>
        <v>#DIV/0!</v>
      </c>
      <c r="V187" s="62" t="e">
        <f t="shared" si="278"/>
        <v>#DIV/0!</v>
      </c>
      <c r="W187" s="59" t="e">
        <f t="shared" si="283"/>
        <v>#DIV/0!</v>
      </c>
      <c r="X187" s="101" t="e">
        <f t="shared" si="279"/>
        <v>#DIV/0!</v>
      </c>
      <c r="Y187" s="104"/>
      <c r="AA187" s="62" t="e">
        <f t="shared" si="280"/>
        <v>#DIV/0!</v>
      </c>
      <c r="AF187" s="62">
        <v>0.76</v>
      </c>
      <c r="AG187" s="62" t="e">
        <f t="shared" si="252"/>
        <v>#DIV/0!</v>
      </c>
      <c r="AH187" s="62" t="e">
        <f t="shared" si="253"/>
        <v>#DIV/0!</v>
      </c>
      <c r="AI187" s="62" t="e">
        <f t="shared" si="268"/>
        <v>#DIV/0!</v>
      </c>
      <c r="AJ187" s="62" t="e">
        <f t="shared" si="269"/>
        <v>#DIV/0!</v>
      </c>
      <c r="AK187" s="62" t="e">
        <f t="shared" si="250"/>
        <v>#DIV/0!</v>
      </c>
      <c r="AL187" s="59" t="e">
        <f>ROUND(SLOPE(AI183:AI191,AJ183:AJ191),0)</f>
        <v>#DIV/0!</v>
      </c>
      <c r="AM187" s="101" t="e">
        <f t="shared" si="258"/>
        <v>#DIV/0!</v>
      </c>
      <c r="AN187" s="55"/>
      <c r="BK187" s="55"/>
      <c r="BL187" s="55"/>
      <c r="BM187" s="55"/>
      <c r="BN187" s="55"/>
      <c r="BO187" s="55"/>
      <c r="BP187" s="55"/>
      <c r="BQ187" s="55"/>
      <c r="BR187" s="55"/>
      <c r="BS187" s="55"/>
      <c r="BT187" s="55"/>
      <c r="BU187" s="55"/>
      <c r="BV187" s="55"/>
      <c r="BW187" s="55"/>
      <c r="BX187" s="55"/>
      <c r="BY187" s="55"/>
    </row>
    <row r="188" spans="15:77" x14ac:dyDescent="0.5">
      <c r="O188" s="17"/>
      <c r="Q188" s="62">
        <v>0.219999999999999</v>
      </c>
      <c r="R188" s="62" t="e">
        <f t="shared" si="274"/>
        <v>#DIV/0!</v>
      </c>
      <c r="S188" s="62" t="e">
        <f t="shared" si="275"/>
        <v>#DIV/0!</v>
      </c>
      <c r="T188" s="62" t="e">
        <f t="shared" si="276"/>
        <v>#DIV/0!</v>
      </c>
      <c r="U188" s="62" t="e">
        <f t="shared" si="277"/>
        <v>#DIV/0!</v>
      </c>
      <c r="V188" s="62" t="e">
        <f t="shared" si="278"/>
        <v>#DIV/0!</v>
      </c>
      <c r="W188" s="59" t="e">
        <f t="shared" si="283"/>
        <v>#DIV/0!</v>
      </c>
      <c r="X188" s="101" t="e">
        <f t="shared" si="279"/>
        <v>#DIV/0!</v>
      </c>
      <c r="Y188" s="104"/>
      <c r="AA188" s="62" t="e">
        <f t="shared" si="280"/>
        <v>#DIV/0!</v>
      </c>
      <c r="AF188" s="62">
        <v>0.75</v>
      </c>
      <c r="AG188" s="62" t="e">
        <f t="shared" si="252"/>
        <v>#DIV/0!</v>
      </c>
      <c r="AH188" s="62" t="e">
        <f t="shared" si="253"/>
        <v>#DIV/0!</v>
      </c>
      <c r="AI188" s="62" t="e">
        <f t="shared" si="268"/>
        <v>#DIV/0!</v>
      </c>
      <c r="AJ188" s="62" t="e">
        <f t="shared" si="269"/>
        <v>#DIV/0!</v>
      </c>
      <c r="AK188" s="62" t="e">
        <f t="shared" si="250"/>
        <v>#DIV/0!</v>
      </c>
      <c r="AL188" s="59" t="e">
        <f t="shared" si="263"/>
        <v>#DIV/0!</v>
      </c>
      <c r="AM188" s="101" t="e">
        <f t="shared" si="258"/>
        <v>#DIV/0!</v>
      </c>
      <c r="AN188" s="55"/>
      <c r="BK188" s="55"/>
      <c r="BL188" s="55"/>
      <c r="BM188" s="55"/>
      <c r="BN188" s="55"/>
      <c r="BO188" s="55"/>
      <c r="BP188" s="55"/>
      <c r="BQ188" s="55"/>
      <c r="BR188" s="55"/>
      <c r="BS188" s="55"/>
      <c r="BT188" s="55"/>
      <c r="BU188" s="55"/>
      <c r="BV188" s="55"/>
      <c r="BW188" s="55"/>
      <c r="BX188" s="55"/>
      <c r="BY188" s="55"/>
    </row>
    <row r="189" spans="15:77" x14ac:dyDescent="0.5">
      <c r="O189" s="17"/>
      <c r="Q189" s="62">
        <v>0.20999999999999899</v>
      </c>
      <c r="R189" s="62" t="e">
        <f t="shared" si="274"/>
        <v>#DIV/0!</v>
      </c>
      <c r="S189" s="62" t="e">
        <f t="shared" si="275"/>
        <v>#DIV/0!</v>
      </c>
      <c r="T189" s="62" t="e">
        <f t="shared" si="276"/>
        <v>#DIV/0!</v>
      </c>
      <c r="U189" s="62" t="e">
        <f t="shared" si="277"/>
        <v>#DIV/0!</v>
      </c>
      <c r="V189" s="62" t="e">
        <f t="shared" si="278"/>
        <v>#DIV/0!</v>
      </c>
      <c r="W189" s="59" t="e">
        <f t="shared" si="283"/>
        <v>#DIV/0!</v>
      </c>
      <c r="X189" s="101" t="e">
        <f t="shared" si="279"/>
        <v>#DIV/0!</v>
      </c>
      <c r="Y189" s="104"/>
      <c r="AA189" s="62" t="e">
        <f t="shared" si="280"/>
        <v>#DIV/0!</v>
      </c>
      <c r="AF189" s="62">
        <v>0.74</v>
      </c>
      <c r="AG189" s="62" t="e">
        <f t="shared" si="252"/>
        <v>#DIV/0!</v>
      </c>
      <c r="AH189" s="62" t="e">
        <f t="shared" si="253"/>
        <v>#DIV/0!</v>
      </c>
      <c r="AI189" s="62" t="e">
        <f t="shared" si="268"/>
        <v>#DIV/0!</v>
      </c>
      <c r="AJ189" s="62" t="e">
        <f t="shared" si="269"/>
        <v>#DIV/0!</v>
      </c>
      <c r="AK189" s="62" t="e">
        <f t="shared" si="250"/>
        <v>#DIV/0!</v>
      </c>
      <c r="AL189" s="59" t="e">
        <f t="shared" si="263"/>
        <v>#DIV/0!</v>
      </c>
      <c r="AM189" s="101" t="e">
        <f t="shared" si="258"/>
        <v>#DIV/0!</v>
      </c>
      <c r="AN189" s="55"/>
      <c r="AP189" s="59" t="s">
        <v>68</v>
      </c>
      <c r="AT189" s="63" t="e">
        <f>-AT178/AT179</f>
        <v>#DIV/0!</v>
      </c>
      <c r="BK189" s="55"/>
      <c r="BL189" s="55"/>
      <c r="BM189" s="55"/>
      <c r="BN189" s="55"/>
      <c r="BO189" s="55"/>
      <c r="BP189" s="55"/>
      <c r="BQ189" s="55"/>
      <c r="BR189" s="55"/>
      <c r="BS189" s="55"/>
      <c r="BT189" s="55"/>
      <c r="BU189" s="55"/>
      <c r="BV189" s="55"/>
      <c r="BW189" s="55"/>
      <c r="BX189" s="55"/>
      <c r="BY189" s="55"/>
    </row>
    <row r="190" spans="15:77" x14ac:dyDescent="0.5">
      <c r="O190" s="17"/>
      <c r="Q190" s="62">
        <v>0.19999999999999901</v>
      </c>
      <c r="R190" s="62" t="e">
        <f t="shared" si="274"/>
        <v>#DIV/0!</v>
      </c>
      <c r="S190" s="62" t="e">
        <f t="shared" si="275"/>
        <v>#DIV/0!</v>
      </c>
      <c r="T190" s="62" t="e">
        <f t="shared" si="276"/>
        <v>#DIV/0!</v>
      </c>
      <c r="U190" s="62" t="e">
        <f t="shared" si="277"/>
        <v>#DIV/0!</v>
      </c>
      <c r="V190" s="62" t="e">
        <f t="shared" si="278"/>
        <v>#DIV/0!</v>
      </c>
      <c r="W190" s="59" t="e">
        <f t="shared" si="283"/>
        <v>#DIV/0!</v>
      </c>
      <c r="X190" s="101" t="e">
        <f t="shared" si="279"/>
        <v>#DIV/0!</v>
      </c>
      <c r="Y190" s="104"/>
      <c r="AA190" s="62" t="e">
        <f t="shared" si="280"/>
        <v>#DIV/0!</v>
      </c>
      <c r="AF190" s="62">
        <v>0.73</v>
      </c>
      <c r="AG190" s="62" t="e">
        <f t="shared" si="252"/>
        <v>#DIV/0!</v>
      </c>
      <c r="AH190" s="62" t="e">
        <f t="shared" si="253"/>
        <v>#DIV/0!</v>
      </c>
      <c r="AI190" s="62" t="e">
        <f t="shared" si="268"/>
        <v>#DIV/0!</v>
      </c>
      <c r="AJ190" s="62" t="e">
        <f t="shared" si="269"/>
        <v>#DIV/0!</v>
      </c>
      <c r="AK190" s="62" t="e">
        <f t="shared" si="250"/>
        <v>#DIV/0!</v>
      </c>
      <c r="AL190" s="59" t="e">
        <f t="shared" si="263"/>
        <v>#DIV/0!</v>
      </c>
      <c r="AM190" s="101" t="e">
        <f t="shared" si="258"/>
        <v>#DIV/0!</v>
      </c>
      <c r="AN190" s="55"/>
      <c r="AP190" s="59" t="s">
        <v>69</v>
      </c>
      <c r="AT190" s="63" t="e">
        <f>AT178*AT189/4</f>
        <v>#DIV/0!</v>
      </c>
      <c r="BK190" s="55"/>
      <c r="BL190" s="55"/>
      <c r="BM190" s="55"/>
      <c r="BN190" s="55"/>
      <c r="BO190" s="55"/>
      <c r="BP190" s="55"/>
      <c r="BQ190" s="55"/>
      <c r="BR190" s="55"/>
      <c r="BS190" s="55"/>
      <c r="BT190" s="55"/>
      <c r="BU190" s="55"/>
      <c r="BV190" s="55"/>
      <c r="BW190" s="55"/>
      <c r="BX190" s="55"/>
      <c r="BY190" s="55"/>
    </row>
    <row r="191" spans="15:77" x14ac:dyDescent="0.5">
      <c r="O191" s="17"/>
      <c r="Q191" s="62">
        <v>0.189999999999999</v>
      </c>
      <c r="R191" s="62" t="e">
        <f t="shared" si="274"/>
        <v>#DIV/0!</v>
      </c>
      <c r="S191" s="62" t="e">
        <f t="shared" si="275"/>
        <v>#DIV/0!</v>
      </c>
      <c r="T191" s="62" t="e">
        <f t="shared" si="276"/>
        <v>#DIV/0!</v>
      </c>
      <c r="U191" s="62" t="e">
        <f t="shared" si="277"/>
        <v>#DIV/0!</v>
      </c>
      <c r="V191" s="62" t="e">
        <f t="shared" si="278"/>
        <v>#DIV/0!</v>
      </c>
      <c r="W191" s="59" t="e">
        <f t="shared" si="283"/>
        <v>#DIV/0!</v>
      </c>
      <c r="X191" s="101" t="e">
        <f t="shared" si="279"/>
        <v>#DIV/0!</v>
      </c>
      <c r="Y191" s="104"/>
      <c r="AA191" s="62" t="e">
        <f t="shared" si="280"/>
        <v>#DIV/0!</v>
      </c>
      <c r="AF191" s="62">
        <v>0.72</v>
      </c>
      <c r="AG191" s="62" t="e">
        <f t="shared" si="252"/>
        <v>#DIV/0!</v>
      </c>
      <c r="AH191" s="62" t="e">
        <f t="shared" si="253"/>
        <v>#DIV/0!</v>
      </c>
      <c r="AI191" s="62" t="e">
        <f t="shared" si="268"/>
        <v>#DIV/0!</v>
      </c>
      <c r="AJ191" s="62" t="e">
        <f t="shared" si="269"/>
        <v>#DIV/0!</v>
      </c>
      <c r="AK191" s="62" t="e">
        <f t="shared" si="250"/>
        <v>#DIV/0!</v>
      </c>
      <c r="AL191" s="59" t="e">
        <f t="shared" si="263"/>
        <v>#DIV/0!</v>
      </c>
      <c r="AM191" s="101" t="e">
        <f t="shared" si="258"/>
        <v>#DIV/0!</v>
      </c>
      <c r="AN191" s="55"/>
      <c r="AP191" s="59" t="s">
        <v>78</v>
      </c>
      <c r="AT191" s="63" t="e">
        <f>AT178*0.5</f>
        <v>#DIV/0!</v>
      </c>
      <c r="BK191" s="55"/>
      <c r="BL191" s="55"/>
      <c r="BM191" s="55"/>
      <c r="BN191" s="55"/>
      <c r="BO191" s="55"/>
      <c r="BP191" s="55"/>
      <c r="BQ191" s="55"/>
      <c r="BR191" s="55"/>
      <c r="BS191" s="55"/>
      <c r="BT191" s="55"/>
      <c r="BU191" s="55"/>
      <c r="BV191" s="55"/>
      <c r="BW191" s="55"/>
      <c r="BX191" s="55"/>
      <c r="BY191" s="55"/>
    </row>
    <row r="192" spans="15:77" x14ac:dyDescent="0.5">
      <c r="O192" s="17"/>
      <c r="Q192" s="62">
        <v>0.17999999999999899</v>
      </c>
      <c r="R192" s="62" t="e">
        <f t="shared" si="274"/>
        <v>#DIV/0!</v>
      </c>
      <c r="S192" s="62" t="e">
        <f t="shared" si="275"/>
        <v>#DIV/0!</v>
      </c>
      <c r="T192" s="62" t="e">
        <f t="shared" si="276"/>
        <v>#DIV/0!</v>
      </c>
      <c r="U192" s="62" t="e">
        <f t="shared" si="277"/>
        <v>#DIV/0!</v>
      </c>
      <c r="V192" s="62" t="e">
        <f t="shared" si="278"/>
        <v>#DIV/0!</v>
      </c>
      <c r="W192" s="59" t="e">
        <f t="shared" si="283"/>
        <v>#DIV/0!</v>
      </c>
      <c r="X192" s="101" t="e">
        <f t="shared" si="279"/>
        <v>#DIV/0!</v>
      </c>
      <c r="Y192" s="104"/>
      <c r="AA192" s="62" t="e">
        <f t="shared" si="280"/>
        <v>#DIV/0!</v>
      </c>
      <c r="AF192" s="62">
        <v>0.71</v>
      </c>
      <c r="AG192" s="62" t="e">
        <f t="shared" si="252"/>
        <v>#DIV/0!</v>
      </c>
      <c r="AH192" s="62" t="e">
        <f t="shared" si="253"/>
        <v>#DIV/0!</v>
      </c>
      <c r="AI192" s="62" t="e">
        <f t="shared" si="268"/>
        <v>#DIV/0!</v>
      </c>
      <c r="AJ192" s="62" t="e">
        <f t="shared" si="269"/>
        <v>#DIV/0!</v>
      </c>
      <c r="AK192" s="62" t="e">
        <f t="shared" si="250"/>
        <v>#DIV/0!</v>
      </c>
      <c r="AL192" s="59" t="e">
        <f t="shared" si="263"/>
        <v>#DIV/0!</v>
      </c>
      <c r="AM192" s="101" t="e">
        <f t="shared" si="258"/>
        <v>#DIV/0!</v>
      </c>
      <c r="AN192" s="55"/>
      <c r="AP192" s="59" t="s">
        <v>79</v>
      </c>
      <c r="AT192" s="63" t="e">
        <f>AT189*0.5</f>
        <v>#DIV/0!</v>
      </c>
      <c r="BK192" s="55"/>
      <c r="BL192" s="55"/>
      <c r="BM192" s="55"/>
      <c r="BN192" s="55"/>
      <c r="BO192" s="55"/>
      <c r="BP192" s="55"/>
      <c r="BQ192" s="55"/>
      <c r="BR192" s="55"/>
      <c r="BS192" s="55"/>
      <c r="BT192" s="55"/>
      <c r="BU192" s="55"/>
      <c r="BV192" s="55"/>
      <c r="BW192" s="55"/>
      <c r="BX192" s="55"/>
      <c r="BY192" s="55"/>
    </row>
    <row r="193" spans="15:77" x14ac:dyDescent="0.5">
      <c r="O193" s="17"/>
      <c r="Q193" s="62">
        <v>0.16999999999999901</v>
      </c>
      <c r="R193" s="62" t="e">
        <f t="shared" si="274"/>
        <v>#DIV/0!</v>
      </c>
      <c r="S193" s="62" t="e">
        <f t="shared" si="275"/>
        <v>#DIV/0!</v>
      </c>
      <c r="T193" s="62" t="e">
        <f t="shared" si="276"/>
        <v>#DIV/0!</v>
      </c>
      <c r="U193" s="62" t="e">
        <f t="shared" si="277"/>
        <v>#DIV/0!</v>
      </c>
      <c r="V193" s="62" t="e">
        <f t="shared" si="278"/>
        <v>#DIV/0!</v>
      </c>
      <c r="W193" s="59" t="e">
        <f t="shared" si="283"/>
        <v>#DIV/0!</v>
      </c>
      <c r="X193" s="101" t="e">
        <f t="shared" si="279"/>
        <v>#DIV/0!</v>
      </c>
      <c r="Y193" s="104"/>
      <c r="AA193" s="62" t="e">
        <f t="shared" si="280"/>
        <v>#DIV/0!</v>
      </c>
      <c r="AF193" s="62">
        <v>0.7</v>
      </c>
      <c r="AG193" s="62" t="e">
        <f t="shared" si="252"/>
        <v>#DIV/0!</v>
      </c>
      <c r="AH193" s="62" t="e">
        <f t="shared" si="253"/>
        <v>#DIV/0!</v>
      </c>
      <c r="AI193" s="62" t="e">
        <f t="shared" si="268"/>
        <v>#DIV/0!</v>
      </c>
      <c r="AJ193" s="62" t="e">
        <f t="shared" si="269"/>
        <v>#DIV/0!</v>
      </c>
      <c r="AK193" s="62" t="e">
        <f t="shared" si="250"/>
        <v>#DIV/0!</v>
      </c>
      <c r="AL193" s="59" t="e">
        <f t="shared" si="263"/>
        <v>#DIV/0!</v>
      </c>
      <c r="AM193" s="101" t="e">
        <f t="shared" si="258"/>
        <v>#DIV/0!</v>
      </c>
      <c r="AN193" s="55"/>
      <c r="BK193" s="55"/>
      <c r="BL193" s="55"/>
      <c r="BM193" s="55"/>
      <c r="BN193" s="55"/>
      <c r="BO193" s="55"/>
      <c r="BP193" s="55"/>
      <c r="BQ193" s="55"/>
      <c r="BR193" s="55"/>
      <c r="BS193" s="55"/>
      <c r="BT193" s="55"/>
      <c r="BU193" s="55"/>
      <c r="BV193" s="55"/>
      <c r="BW193" s="55"/>
      <c r="BX193" s="55"/>
      <c r="BY193" s="55"/>
    </row>
    <row r="194" spans="15:77" x14ac:dyDescent="0.5">
      <c r="O194" s="17"/>
      <c r="Q194" s="62">
        <v>0.159999999999999</v>
      </c>
      <c r="R194" s="62" t="e">
        <f t="shared" si="274"/>
        <v>#DIV/0!</v>
      </c>
      <c r="S194" s="62" t="e">
        <f t="shared" si="275"/>
        <v>#DIV/0!</v>
      </c>
      <c r="T194" s="62" t="e">
        <f t="shared" si="276"/>
        <v>#DIV/0!</v>
      </c>
      <c r="U194" s="62" t="e">
        <f t="shared" si="277"/>
        <v>#DIV/0!</v>
      </c>
      <c r="V194" s="62" t="e">
        <f t="shared" si="278"/>
        <v>#DIV/0!</v>
      </c>
      <c r="W194" s="59" t="e">
        <f t="shared" si="283"/>
        <v>#DIV/0!</v>
      </c>
      <c r="X194" s="101" t="e">
        <f t="shared" si="279"/>
        <v>#DIV/0!</v>
      </c>
      <c r="Y194" s="104"/>
      <c r="AA194" s="62" t="e">
        <f t="shared" si="280"/>
        <v>#DIV/0!</v>
      </c>
      <c r="AF194" s="62">
        <v>0.69</v>
      </c>
      <c r="AG194" s="62" t="e">
        <f t="shared" si="252"/>
        <v>#DIV/0!</v>
      </c>
      <c r="AH194" s="62" t="e">
        <f t="shared" si="253"/>
        <v>#DIV/0!</v>
      </c>
      <c r="AI194" s="62" t="e">
        <f t="shared" si="268"/>
        <v>#DIV/0!</v>
      </c>
      <c r="AJ194" s="62" t="e">
        <f t="shared" si="269"/>
        <v>#DIV/0!</v>
      </c>
      <c r="AK194" s="62" t="e">
        <f t="shared" si="250"/>
        <v>#DIV/0!</v>
      </c>
      <c r="AL194" s="59" t="e">
        <f t="shared" si="263"/>
        <v>#DIV/0!</v>
      </c>
      <c r="AM194" s="101" t="e">
        <f t="shared" si="258"/>
        <v>#DIV/0!</v>
      </c>
      <c r="AN194" s="55"/>
      <c r="AP194" s="53" t="s">
        <v>48</v>
      </c>
      <c r="BI194" s="53" t="s">
        <v>48</v>
      </c>
      <c r="BK194" s="55"/>
      <c r="BL194" s="55"/>
      <c r="BM194" s="55"/>
      <c r="BN194" s="55"/>
      <c r="BO194" s="55"/>
      <c r="BP194" s="55"/>
      <c r="BQ194" s="55"/>
      <c r="BR194" s="55"/>
      <c r="BS194" s="55"/>
      <c r="BT194" s="55"/>
      <c r="BU194" s="55"/>
      <c r="BV194" s="55"/>
      <c r="BW194" s="55"/>
      <c r="BX194" s="55"/>
      <c r="BY194" s="55"/>
    </row>
    <row r="195" spans="15:77" x14ac:dyDescent="0.5">
      <c r="O195" s="17"/>
      <c r="Q195" s="62">
        <v>0.149999999999999</v>
      </c>
      <c r="R195" s="62" t="e">
        <f t="shared" si="274"/>
        <v>#DIV/0!</v>
      </c>
      <c r="S195" s="62" t="e">
        <f t="shared" si="275"/>
        <v>#DIV/0!</v>
      </c>
      <c r="T195" s="62" t="e">
        <f t="shared" si="276"/>
        <v>#DIV/0!</v>
      </c>
      <c r="U195" s="62" t="e">
        <f t="shared" si="277"/>
        <v>#DIV/0!</v>
      </c>
      <c r="V195" s="62" t="e">
        <f t="shared" si="278"/>
        <v>#DIV/0!</v>
      </c>
      <c r="W195" s="59" t="e">
        <f t="shared" si="283"/>
        <v>#DIV/0!</v>
      </c>
      <c r="X195" s="101" t="e">
        <f t="shared" si="279"/>
        <v>#DIV/0!</v>
      </c>
      <c r="Y195" s="104"/>
      <c r="AA195" s="62" t="e">
        <f t="shared" si="280"/>
        <v>#DIV/0!</v>
      </c>
      <c r="AF195" s="62">
        <v>0.68</v>
      </c>
      <c r="AG195" s="62" t="e">
        <f t="shared" si="252"/>
        <v>#DIV/0!</v>
      </c>
      <c r="AH195" s="62" t="e">
        <f t="shared" si="253"/>
        <v>#DIV/0!</v>
      </c>
      <c r="AI195" s="62" t="e">
        <f t="shared" si="268"/>
        <v>#DIV/0!</v>
      </c>
      <c r="AJ195" s="62" t="e">
        <f t="shared" si="269"/>
        <v>#DIV/0!</v>
      </c>
      <c r="AK195" s="62" t="e">
        <f t="shared" ref="AK195:AK226" si="284">AI195*AJ195</f>
        <v>#DIV/0!</v>
      </c>
      <c r="AL195" s="59" t="e">
        <f t="shared" si="263"/>
        <v>#DIV/0!</v>
      </c>
      <c r="AM195" s="101" t="e">
        <f t="shared" si="258"/>
        <v>#DIV/0!</v>
      </c>
      <c r="AN195" s="55"/>
      <c r="AP195" s="67" t="s">
        <v>20</v>
      </c>
      <c r="AQ195" s="59"/>
      <c r="AR195" s="63" t="str">
        <f t="shared" ref="AR195:BF195" si="285">IF(AR9="","",(1/(1+EXP($AT$181-AR9/$AT$178)^$AT$180))*((AR9-$AT$178)/$AT$179)+(1/(1+EXP(AR9/$AT$178-$AT$181)^$AT$180))*((($AT$175-AR9)*$AT$177)/(AR9+$AT$176)))</f>
        <v/>
      </c>
      <c r="AS195" s="63" t="str">
        <f t="shared" si="285"/>
        <v/>
      </c>
      <c r="AT195" s="63" t="str">
        <f t="shared" si="285"/>
        <v/>
      </c>
      <c r="AU195" s="63" t="str">
        <f t="shared" si="285"/>
        <v/>
      </c>
      <c r="AV195" s="63" t="str">
        <f t="shared" si="285"/>
        <v/>
      </c>
      <c r="AW195" s="63" t="str">
        <f t="shared" si="285"/>
        <v/>
      </c>
      <c r="AX195" s="63" t="str">
        <f t="shared" si="285"/>
        <v/>
      </c>
      <c r="AY195" s="63" t="str">
        <f t="shared" si="285"/>
        <v/>
      </c>
      <c r="AZ195" s="63" t="str">
        <f t="shared" si="285"/>
        <v/>
      </c>
      <c r="BA195" s="63" t="str">
        <f t="shared" si="285"/>
        <v/>
      </c>
      <c r="BB195" s="63" t="str">
        <f t="shared" si="285"/>
        <v/>
      </c>
      <c r="BC195" s="63" t="str">
        <f t="shared" si="285"/>
        <v/>
      </c>
      <c r="BD195" s="63" t="str">
        <f t="shared" si="285"/>
        <v/>
      </c>
      <c r="BE195" s="63" t="str">
        <f t="shared" si="285"/>
        <v/>
      </c>
      <c r="BF195" s="63" t="str">
        <f t="shared" si="285"/>
        <v/>
      </c>
      <c r="BI195" s="67" t="s">
        <v>20</v>
      </c>
      <c r="BJ195" s="59"/>
      <c r="BK195" s="62" t="e">
        <f t="shared" ref="BK195:BY195" si="286">IF(AR9="",NA(),(1/(1+EXP($AT$181-AR9/$AT$178)^$AT$180))*((AR9-$AT$178)/$AT$179)+(1/(1+EXP(AR9/$AT$178-$AT$181)^$AT$180))*((($AT$175-AR9)*$AT$177)/(AR9+$AT$176)))</f>
        <v>#N/A</v>
      </c>
      <c r="BL195" s="62" t="e">
        <f t="shared" si="286"/>
        <v>#N/A</v>
      </c>
      <c r="BM195" s="62" t="e">
        <f t="shared" si="286"/>
        <v>#N/A</v>
      </c>
      <c r="BN195" s="62" t="e">
        <f t="shared" si="286"/>
        <v>#N/A</v>
      </c>
      <c r="BO195" s="62" t="e">
        <f t="shared" si="286"/>
        <v>#N/A</v>
      </c>
      <c r="BP195" s="62" t="e">
        <f t="shared" si="286"/>
        <v>#N/A</v>
      </c>
      <c r="BQ195" s="62" t="e">
        <f t="shared" si="286"/>
        <v>#N/A</v>
      </c>
      <c r="BR195" s="62" t="e">
        <f t="shared" si="286"/>
        <v>#N/A</v>
      </c>
      <c r="BS195" s="62" t="e">
        <f t="shared" si="286"/>
        <v>#N/A</v>
      </c>
      <c r="BT195" s="62" t="e">
        <f t="shared" si="286"/>
        <v>#N/A</v>
      </c>
      <c r="BU195" s="62" t="e">
        <f t="shared" si="286"/>
        <v>#N/A</v>
      </c>
      <c r="BV195" s="62" t="e">
        <f t="shared" si="286"/>
        <v>#N/A</v>
      </c>
      <c r="BW195" s="62" t="e">
        <f t="shared" si="286"/>
        <v>#N/A</v>
      </c>
      <c r="BX195" s="62" t="e">
        <f t="shared" si="286"/>
        <v>#N/A</v>
      </c>
      <c r="BY195" s="62" t="e">
        <f t="shared" si="286"/>
        <v>#N/A</v>
      </c>
    </row>
    <row r="196" spans="15:77" x14ac:dyDescent="0.5">
      <c r="O196" s="17"/>
      <c r="Q196" s="62">
        <v>0.13999999999999899</v>
      </c>
      <c r="R196" s="62" t="e">
        <f t="shared" si="274"/>
        <v>#DIV/0!</v>
      </c>
      <c r="S196" s="62" t="e">
        <f t="shared" si="275"/>
        <v>#DIV/0!</v>
      </c>
      <c r="T196" s="62" t="e">
        <f t="shared" si="276"/>
        <v>#DIV/0!</v>
      </c>
      <c r="U196" s="62" t="e">
        <f t="shared" si="277"/>
        <v>#DIV/0!</v>
      </c>
      <c r="V196" s="62" t="e">
        <f t="shared" si="278"/>
        <v>#DIV/0!</v>
      </c>
      <c r="W196" s="59" t="e">
        <f t="shared" si="283"/>
        <v>#DIV/0!</v>
      </c>
      <c r="X196" s="101" t="e">
        <f t="shared" si="279"/>
        <v>#DIV/0!</v>
      </c>
      <c r="Y196" s="104"/>
      <c r="AA196" s="62" t="e">
        <f t="shared" si="280"/>
        <v>#DIV/0!</v>
      </c>
      <c r="AF196" s="62">
        <v>0.67</v>
      </c>
      <c r="AG196" s="62" t="e">
        <f t="shared" si="252"/>
        <v>#DIV/0!</v>
      </c>
      <c r="AH196" s="62" t="e">
        <f t="shared" si="253"/>
        <v>#DIV/0!</v>
      </c>
      <c r="AI196" s="62" t="e">
        <f t="shared" si="268"/>
        <v>#DIV/0!</v>
      </c>
      <c r="AJ196" s="62" t="e">
        <f t="shared" si="269"/>
        <v>#DIV/0!</v>
      </c>
      <c r="AK196" s="62" t="e">
        <f t="shared" si="284"/>
        <v>#DIV/0!</v>
      </c>
      <c r="AL196" s="59" t="e">
        <f t="shared" si="263"/>
        <v>#DIV/0!</v>
      </c>
      <c r="AM196" s="101" t="e">
        <f t="shared" si="258"/>
        <v>#DIV/0!</v>
      </c>
      <c r="AN196" s="55"/>
      <c r="AP196" s="59" t="s">
        <v>40</v>
      </c>
      <c r="AQ196" s="59"/>
      <c r="AR196" s="63" t="str">
        <f t="shared" ref="AR196:BF196" si="287">IF(AR9="","",AR195-$AP$4)</f>
        <v/>
      </c>
      <c r="AS196" s="63" t="str">
        <f t="shared" si="287"/>
        <v/>
      </c>
      <c r="AT196" s="63" t="str">
        <f t="shared" si="287"/>
        <v/>
      </c>
      <c r="AU196" s="63" t="str">
        <f t="shared" si="287"/>
        <v/>
      </c>
      <c r="AV196" s="63" t="str">
        <f t="shared" si="287"/>
        <v/>
      </c>
      <c r="AW196" s="63" t="str">
        <f t="shared" si="287"/>
        <v/>
      </c>
      <c r="AX196" s="63" t="str">
        <f t="shared" si="287"/>
        <v/>
      </c>
      <c r="AY196" s="63" t="str">
        <f t="shared" si="287"/>
        <v/>
      </c>
      <c r="AZ196" s="63" t="str">
        <f t="shared" si="287"/>
        <v/>
      </c>
      <c r="BA196" s="63" t="str">
        <f t="shared" si="287"/>
        <v/>
      </c>
      <c r="BB196" s="63" t="str">
        <f t="shared" si="287"/>
        <v/>
      </c>
      <c r="BC196" s="63" t="str">
        <f t="shared" si="287"/>
        <v/>
      </c>
      <c r="BD196" s="63" t="str">
        <f t="shared" si="287"/>
        <v/>
      </c>
      <c r="BE196" s="63" t="str">
        <f t="shared" si="287"/>
        <v/>
      </c>
      <c r="BF196" s="63" t="str">
        <f t="shared" si="287"/>
        <v/>
      </c>
      <c r="BI196" s="59" t="s">
        <v>40</v>
      </c>
      <c r="BJ196" s="59"/>
      <c r="BK196" s="62" t="e">
        <f t="shared" ref="BK196:BY196" si="288">IF(AR9="",NA(),AR195-$AP$4)</f>
        <v>#N/A</v>
      </c>
      <c r="BL196" s="62" t="e">
        <f t="shared" si="288"/>
        <v>#N/A</v>
      </c>
      <c r="BM196" s="62" t="e">
        <f t="shared" si="288"/>
        <v>#N/A</v>
      </c>
      <c r="BN196" s="62" t="e">
        <f t="shared" si="288"/>
        <v>#N/A</v>
      </c>
      <c r="BO196" s="62" t="e">
        <f t="shared" si="288"/>
        <v>#N/A</v>
      </c>
      <c r="BP196" s="62" t="e">
        <f t="shared" si="288"/>
        <v>#N/A</v>
      </c>
      <c r="BQ196" s="62" t="e">
        <f t="shared" si="288"/>
        <v>#N/A</v>
      </c>
      <c r="BR196" s="62" t="e">
        <f t="shared" si="288"/>
        <v>#N/A</v>
      </c>
      <c r="BS196" s="62" t="e">
        <f t="shared" si="288"/>
        <v>#N/A</v>
      </c>
      <c r="BT196" s="62" t="e">
        <f t="shared" si="288"/>
        <v>#N/A</v>
      </c>
      <c r="BU196" s="62" t="e">
        <f t="shared" si="288"/>
        <v>#N/A</v>
      </c>
      <c r="BV196" s="62" t="e">
        <f t="shared" si="288"/>
        <v>#N/A</v>
      </c>
      <c r="BW196" s="62" t="e">
        <f t="shared" si="288"/>
        <v>#N/A</v>
      </c>
      <c r="BX196" s="62" t="e">
        <f t="shared" si="288"/>
        <v>#N/A</v>
      </c>
      <c r="BY196" s="62" t="e">
        <f t="shared" si="288"/>
        <v>#N/A</v>
      </c>
    </row>
    <row r="197" spans="15:77" x14ac:dyDescent="0.5">
      <c r="O197" s="17"/>
      <c r="Q197" s="62">
        <v>0.12999999999999901</v>
      </c>
      <c r="R197" s="62" t="e">
        <f t="shared" si="274"/>
        <v>#DIV/0!</v>
      </c>
      <c r="S197" s="62" t="e">
        <f t="shared" si="275"/>
        <v>#DIV/0!</v>
      </c>
      <c r="T197" s="62" t="e">
        <f t="shared" si="276"/>
        <v>#DIV/0!</v>
      </c>
      <c r="U197" s="62" t="e">
        <f t="shared" si="277"/>
        <v>#DIV/0!</v>
      </c>
      <c r="V197" s="62" t="e">
        <f t="shared" si="278"/>
        <v>#DIV/0!</v>
      </c>
      <c r="W197" s="59" t="e">
        <f t="shared" si="283"/>
        <v>#DIV/0!</v>
      </c>
      <c r="X197" s="101" t="e">
        <f t="shared" si="279"/>
        <v>#DIV/0!</v>
      </c>
      <c r="Y197" s="104"/>
      <c r="AA197" s="62" t="e">
        <f t="shared" si="280"/>
        <v>#DIV/0!</v>
      </c>
      <c r="AF197" s="62">
        <v>0.66</v>
      </c>
      <c r="AG197" s="62" t="e">
        <f t="shared" si="252"/>
        <v>#DIV/0!</v>
      </c>
      <c r="AH197" s="62" t="e">
        <f t="shared" si="253"/>
        <v>#DIV/0!</v>
      </c>
      <c r="AI197" s="62" t="e">
        <f t="shared" si="268"/>
        <v>#DIV/0!</v>
      </c>
      <c r="AJ197" s="62" t="e">
        <f t="shared" si="269"/>
        <v>#DIV/0!</v>
      </c>
      <c r="AK197" s="62" t="e">
        <f t="shared" si="284"/>
        <v>#DIV/0!</v>
      </c>
      <c r="AL197" s="59" t="e">
        <f t="shared" si="263"/>
        <v>#DIV/0!</v>
      </c>
      <c r="AM197" s="101" t="e">
        <f t="shared" si="258"/>
        <v>#DIV/0!</v>
      </c>
      <c r="AN197" s="55"/>
      <c r="AP197" s="59" t="s">
        <v>41</v>
      </c>
      <c r="AQ197" s="59"/>
      <c r="AR197" s="63" t="str">
        <f t="shared" ref="AR197:BF197" si="289">IF(AR9="","",AR195+$AP$4)</f>
        <v/>
      </c>
      <c r="AS197" s="63" t="str">
        <f t="shared" si="289"/>
        <v/>
      </c>
      <c r="AT197" s="63" t="str">
        <f t="shared" si="289"/>
        <v/>
      </c>
      <c r="AU197" s="63" t="str">
        <f t="shared" si="289"/>
        <v/>
      </c>
      <c r="AV197" s="63" t="str">
        <f t="shared" si="289"/>
        <v/>
      </c>
      <c r="AW197" s="63" t="str">
        <f t="shared" si="289"/>
        <v/>
      </c>
      <c r="AX197" s="63" t="str">
        <f t="shared" si="289"/>
        <v/>
      </c>
      <c r="AY197" s="63" t="str">
        <f t="shared" si="289"/>
        <v/>
      </c>
      <c r="AZ197" s="63" t="str">
        <f t="shared" si="289"/>
        <v/>
      </c>
      <c r="BA197" s="63" t="str">
        <f t="shared" si="289"/>
        <v/>
      </c>
      <c r="BB197" s="63" t="str">
        <f t="shared" si="289"/>
        <v/>
      </c>
      <c r="BC197" s="63" t="str">
        <f t="shared" si="289"/>
        <v/>
      </c>
      <c r="BD197" s="63" t="str">
        <f t="shared" si="289"/>
        <v/>
      </c>
      <c r="BE197" s="63" t="str">
        <f t="shared" si="289"/>
        <v/>
      </c>
      <c r="BF197" s="63" t="str">
        <f t="shared" si="289"/>
        <v/>
      </c>
      <c r="BI197" s="59" t="s">
        <v>41</v>
      </c>
      <c r="BJ197" s="59"/>
      <c r="BK197" s="62" t="e">
        <f t="shared" ref="BK197:BY197" si="290">IF(AR9="",NA(),AR195+$AP$4)</f>
        <v>#N/A</v>
      </c>
      <c r="BL197" s="62" t="e">
        <f t="shared" si="290"/>
        <v>#N/A</v>
      </c>
      <c r="BM197" s="62" t="e">
        <f t="shared" si="290"/>
        <v>#N/A</v>
      </c>
      <c r="BN197" s="62" t="e">
        <f t="shared" si="290"/>
        <v>#N/A</v>
      </c>
      <c r="BO197" s="62" t="e">
        <f t="shared" si="290"/>
        <v>#N/A</v>
      </c>
      <c r="BP197" s="62" t="e">
        <f t="shared" si="290"/>
        <v>#N/A</v>
      </c>
      <c r="BQ197" s="62" t="e">
        <f t="shared" si="290"/>
        <v>#N/A</v>
      </c>
      <c r="BR197" s="62" t="e">
        <f t="shared" si="290"/>
        <v>#N/A</v>
      </c>
      <c r="BS197" s="62" t="e">
        <f t="shared" si="290"/>
        <v>#N/A</v>
      </c>
      <c r="BT197" s="62" t="e">
        <f t="shared" si="290"/>
        <v>#N/A</v>
      </c>
      <c r="BU197" s="62" t="e">
        <f t="shared" si="290"/>
        <v>#N/A</v>
      </c>
      <c r="BV197" s="62" t="e">
        <f t="shared" si="290"/>
        <v>#N/A</v>
      </c>
      <c r="BW197" s="62" t="e">
        <f t="shared" si="290"/>
        <v>#N/A</v>
      </c>
      <c r="BX197" s="62" t="e">
        <f t="shared" si="290"/>
        <v>#N/A</v>
      </c>
      <c r="BY197" s="62" t="e">
        <f t="shared" si="290"/>
        <v>#N/A</v>
      </c>
    </row>
    <row r="198" spans="15:77" x14ac:dyDescent="0.5">
      <c r="O198" s="17"/>
      <c r="Q198" s="62">
        <v>0.119999999999999</v>
      </c>
      <c r="R198" s="62" t="e">
        <f t="shared" si="274"/>
        <v>#DIV/0!</v>
      </c>
      <c r="S198" s="62" t="e">
        <f t="shared" si="275"/>
        <v>#DIV/0!</v>
      </c>
      <c r="T198" s="62" t="e">
        <f t="shared" si="276"/>
        <v>#DIV/0!</v>
      </c>
      <c r="U198" s="62" t="e">
        <f t="shared" si="277"/>
        <v>#DIV/0!</v>
      </c>
      <c r="V198" s="62" t="e">
        <f t="shared" si="278"/>
        <v>#DIV/0!</v>
      </c>
      <c r="W198" s="59" t="e">
        <f t="shared" si="283"/>
        <v>#DIV/0!</v>
      </c>
      <c r="X198" s="101" t="e">
        <f t="shared" si="279"/>
        <v>#DIV/0!</v>
      </c>
      <c r="Y198" s="104"/>
      <c r="AA198" s="62" t="e">
        <f t="shared" si="280"/>
        <v>#DIV/0!</v>
      </c>
      <c r="AF198" s="62">
        <v>0.65</v>
      </c>
      <c r="AG198" s="62" t="e">
        <f t="shared" si="252"/>
        <v>#DIV/0!</v>
      </c>
      <c r="AH198" s="62" t="e">
        <f t="shared" si="253"/>
        <v>#DIV/0!</v>
      </c>
      <c r="AI198" s="62" t="e">
        <f t="shared" si="268"/>
        <v>#DIV/0!</v>
      </c>
      <c r="AJ198" s="62" t="e">
        <f t="shared" si="269"/>
        <v>#DIV/0!</v>
      </c>
      <c r="AK198" s="62" t="e">
        <f t="shared" si="284"/>
        <v>#DIV/0!</v>
      </c>
      <c r="AL198" s="59" t="e">
        <f t="shared" si="263"/>
        <v>#DIV/0!</v>
      </c>
      <c r="AM198" s="101" t="e">
        <f t="shared" si="258"/>
        <v>#DIV/0!</v>
      </c>
      <c r="AN198" s="55"/>
      <c r="BK198" s="55"/>
      <c r="BL198" s="55"/>
      <c r="BM198" s="55"/>
      <c r="BN198" s="55"/>
      <c r="BO198" s="55"/>
      <c r="BP198" s="55"/>
      <c r="BQ198" s="55"/>
      <c r="BR198" s="55"/>
      <c r="BS198" s="55"/>
      <c r="BT198" s="55"/>
      <c r="BU198" s="55"/>
      <c r="BV198" s="55"/>
      <c r="BW198" s="55"/>
      <c r="BX198" s="55"/>
      <c r="BY198" s="55"/>
    </row>
    <row r="199" spans="15:77" x14ac:dyDescent="0.5">
      <c r="O199" s="17"/>
      <c r="Q199" s="62">
        <v>0.109999999999999</v>
      </c>
      <c r="R199" s="62" t="e">
        <f t="shared" si="274"/>
        <v>#DIV/0!</v>
      </c>
      <c r="S199" s="62" t="e">
        <f t="shared" si="275"/>
        <v>#DIV/0!</v>
      </c>
      <c r="T199" s="62" t="e">
        <f t="shared" si="276"/>
        <v>#DIV/0!</v>
      </c>
      <c r="U199" s="62" t="e">
        <f t="shared" si="277"/>
        <v>#DIV/0!</v>
      </c>
      <c r="V199" s="62" t="e">
        <f t="shared" si="278"/>
        <v>#DIV/0!</v>
      </c>
      <c r="W199" s="59" t="e">
        <f t="shared" si="283"/>
        <v>#DIV/0!</v>
      </c>
      <c r="X199" s="101" t="e">
        <f t="shared" si="279"/>
        <v>#DIV/0!</v>
      </c>
      <c r="Y199" s="104"/>
      <c r="AA199" s="62" t="e">
        <f t="shared" si="280"/>
        <v>#DIV/0!</v>
      </c>
      <c r="AF199" s="62">
        <v>0.64</v>
      </c>
      <c r="AG199" s="62" t="e">
        <f t="shared" si="252"/>
        <v>#DIV/0!</v>
      </c>
      <c r="AH199" s="62" t="e">
        <f t="shared" si="253"/>
        <v>#DIV/0!</v>
      </c>
      <c r="AI199" s="62" t="e">
        <f t="shared" si="268"/>
        <v>#DIV/0!</v>
      </c>
      <c r="AJ199" s="62" t="e">
        <f t="shared" si="269"/>
        <v>#DIV/0!</v>
      </c>
      <c r="AK199" s="62" t="e">
        <f t="shared" si="284"/>
        <v>#DIV/0!</v>
      </c>
      <c r="AL199" s="59" t="e">
        <f t="shared" si="263"/>
        <v>#DIV/0!</v>
      </c>
      <c r="AM199" s="101" t="e">
        <f t="shared" si="258"/>
        <v>#DIV/0!</v>
      </c>
      <c r="AN199" s="55"/>
      <c r="AP199" s="67" t="s">
        <v>42</v>
      </c>
      <c r="AQ199" s="59"/>
      <c r="AR199" s="63" t="str">
        <f t="shared" ref="AR199:BF199" si="291">IF(AR9="","",AR9*AR195)</f>
        <v/>
      </c>
      <c r="AS199" s="63" t="str">
        <f t="shared" si="291"/>
        <v/>
      </c>
      <c r="AT199" s="63" t="str">
        <f t="shared" si="291"/>
        <v/>
      </c>
      <c r="AU199" s="63" t="str">
        <f t="shared" si="291"/>
        <v/>
      </c>
      <c r="AV199" s="63" t="str">
        <f t="shared" si="291"/>
        <v/>
      </c>
      <c r="AW199" s="63" t="str">
        <f t="shared" si="291"/>
        <v/>
      </c>
      <c r="AX199" s="63" t="str">
        <f t="shared" si="291"/>
        <v/>
      </c>
      <c r="AY199" s="63" t="str">
        <f t="shared" si="291"/>
        <v/>
      </c>
      <c r="AZ199" s="63" t="str">
        <f t="shared" si="291"/>
        <v/>
      </c>
      <c r="BA199" s="63" t="str">
        <f t="shared" si="291"/>
        <v/>
      </c>
      <c r="BB199" s="63" t="str">
        <f t="shared" si="291"/>
        <v/>
      </c>
      <c r="BC199" s="63" t="str">
        <f t="shared" si="291"/>
        <v/>
      </c>
      <c r="BD199" s="63" t="str">
        <f t="shared" si="291"/>
        <v/>
      </c>
      <c r="BE199" s="63" t="str">
        <f t="shared" si="291"/>
        <v/>
      </c>
      <c r="BF199" s="63" t="str">
        <f t="shared" si="291"/>
        <v/>
      </c>
      <c r="BI199" s="67" t="s">
        <v>42</v>
      </c>
      <c r="BJ199" s="59"/>
      <c r="BK199" s="62" t="e">
        <f t="shared" ref="BK199:BY199" si="292">IF(AR9="",NA(),AR9*AR195)</f>
        <v>#N/A</v>
      </c>
      <c r="BL199" s="62" t="e">
        <f t="shared" si="292"/>
        <v>#N/A</v>
      </c>
      <c r="BM199" s="62" t="e">
        <f t="shared" si="292"/>
        <v>#N/A</v>
      </c>
      <c r="BN199" s="62" t="e">
        <f t="shared" si="292"/>
        <v>#N/A</v>
      </c>
      <c r="BO199" s="62" t="e">
        <f t="shared" si="292"/>
        <v>#N/A</v>
      </c>
      <c r="BP199" s="62" t="e">
        <f t="shared" si="292"/>
        <v>#N/A</v>
      </c>
      <c r="BQ199" s="62" t="e">
        <f t="shared" si="292"/>
        <v>#N/A</v>
      </c>
      <c r="BR199" s="62" t="e">
        <f t="shared" si="292"/>
        <v>#N/A</v>
      </c>
      <c r="BS199" s="62" t="e">
        <f t="shared" si="292"/>
        <v>#N/A</v>
      </c>
      <c r="BT199" s="62" t="e">
        <f t="shared" si="292"/>
        <v>#N/A</v>
      </c>
      <c r="BU199" s="62" t="e">
        <f t="shared" si="292"/>
        <v>#N/A</v>
      </c>
      <c r="BV199" s="62" t="e">
        <f t="shared" si="292"/>
        <v>#N/A</v>
      </c>
      <c r="BW199" s="62" t="e">
        <f t="shared" si="292"/>
        <v>#N/A</v>
      </c>
      <c r="BX199" s="62" t="e">
        <f t="shared" si="292"/>
        <v>#N/A</v>
      </c>
      <c r="BY199" s="62" t="e">
        <f t="shared" si="292"/>
        <v>#N/A</v>
      </c>
    </row>
    <row r="200" spans="15:77" x14ac:dyDescent="0.5">
      <c r="O200" s="17"/>
      <c r="Q200" s="62">
        <v>9.9999999999999006E-2</v>
      </c>
      <c r="R200" s="62" t="e">
        <f t="shared" si="274"/>
        <v>#DIV/0!</v>
      </c>
      <c r="S200" s="62" t="e">
        <f t="shared" si="275"/>
        <v>#DIV/0!</v>
      </c>
      <c r="T200" s="62" t="e">
        <f t="shared" si="276"/>
        <v>#DIV/0!</v>
      </c>
      <c r="U200" s="62" t="e">
        <f t="shared" si="277"/>
        <v>#DIV/0!</v>
      </c>
      <c r="V200" s="62" t="e">
        <f t="shared" si="278"/>
        <v>#DIV/0!</v>
      </c>
      <c r="W200" s="59" t="e">
        <f t="shared" si="283"/>
        <v>#DIV/0!</v>
      </c>
      <c r="X200" s="101" t="e">
        <f t="shared" si="279"/>
        <v>#DIV/0!</v>
      </c>
      <c r="Y200" s="104"/>
      <c r="AA200" s="62" t="e">
        <f t="shared" si="280"/>
        <v>#DIV/0!</v>
      </c>
      <c r="AF200" s="62">
        <v>0.63</v>
      </c>
      <c r="AG200" s="62" t="e">
        <f t="shared" si="252"/>
        <v>#DIV/0!</v>
      </c>
      <c r="AH200" s="62" t="e">
        <f t="shared" si="253"/>
        <v>#DIV/0!</v>
      </c>
      <c r="AI200" s="62" t="e">
        <f t="shared" si="268"/>
        <v>#DIV/0!</v>
      </c>
      <c r="AJ200" s="62" t="e">
        <f t="shared" si="269"/>
        <v>#DIV/0!</v>
      </c>
      <c r="AK200" s="62" t="e">
        <f t="shared" si="284"/>
        <v>#DIV/0!</v>
      </c>
      <c r="AL200" s="59" t="e">
        <f t="shared" si="263"/>
        <v>#DIV/0!</v>
      </c>
      <c r="AM200" s="101" t="e">
        <f t="shared" si="258"/>
        <v>#DIV/0!</v>
      </c>
      <c r="AN200" s="55"/>
      <c r="AP200" s="59" t="s">
        <v>45</v>
      </c>
      <c r="AQ200" s="59"/>
      <c r="AR200" s="63" t="str">
        <f t="shared" ref="AR200:BF200" si="293">IF(AR9="","",AR9*AR196)</f>
        <v/>
      </c>
      <c r="AS200" s="63" t="str">
        <f t="shared" si="293"/>
        <v/>
      </c>
      <c r="AT200" s="63" t="str">
        <f t="shared" si="293"/>
        <v/>
      </c>
      <c r="AU200" s="63" t="str">
        <f t="shared" si="293"/>
        <v/>
      </c>
      <c r="AV200" s="63" t="str">
        <f t="shared" si="293"/>
        <v/>
      </c>
      <c r="AW200" s="63" t="str">
        <f t="shared" si="293"/>
        <v/>
      </c>
      <c r="AX200" s="63" t="str">
        <f t="shared" si="293"/>
        <v/>
      </c>
      <c r="AY200" s="63" t="str">
        <f t="shared" si="293"/>
        <v/>
      </c>
      <c r="AZ200" s="63" t="str">
        <f t="shared" si="293"/>
        <v/>
      </c>
      <c r="BA200" s="63" t="str">
        <f t="shared" si="293"/>
        <v/>
      </c>
      <c r="BB200" s="63" t="str">
        <f t="shared" si="293"/>
        <v/>
      </c>
      <c r="BC200" s="63" t="str">
        <f t="shared" si="293"/>
        <v/>
      </c>
      <c r="BD200" s="63" t="str">
        <f t="shared" si="293"/>
        <v/>
      </c>
      <c r="BE200" s="63" t="str">
        <f t="shared" si="293"/>
        <v/>
      </c>
      <c r="BF200" s="63" t="str">
        <f t="shared" si="293"/>
        <v/>
      </c>
      <c r="BI200" s="59" t="s">
        <v>45</v>
      </c>
      <c r="BJ200" s="59"/>
      <c r="BK200" s="62" t="e">
        <f t="shared" ref="BK200:BY200" si="294">IF(AR9="",NA(),AR9*AR196)</f>
        <v>#N/A</v>
      </c>
      <c r="BL200" s="62" t="e">
        <f t="shared" si="294"/>
        <v>#N/A</v>
      </c>
      <c r="BM200" s="62" t="e">
        <f t="shared" si="294"/>
        <v>#N/A</v>
      </c>
      <c r="BN200" s="62" t="e">
        <f t="shared" si="294"/>
        <v>#N/A</v>
      </c>
      <c r="BO200" s="62" t="e">
        <f t="shared" si="294"/>
        <v>#N/A</v>
      </c>
      <c r="BP200" s="62" t="e">
        <f t="shared" si="294"/>
        <v>#N/A</v>
      </c>
      <c r="BQ200" s="62" t="e">
        <f t="shared" si="294"/>
        <v>#N/A</v>
      </c>
      <c r="BR200" s="62" t="e">
        <f t="shared" si="294"/>
        <v>#N/A</v>
      </c>
      <c r="BS200" s="62" t="e">
        <f t="shared" si="294"/>
        <v>#N/A</v>
      </c>
      <c r="BT200" s="62" t="e">
        <f t="shared" si="294"/>
        <v>#N/A</v>
      </c>
      <c r="BU200" s="62" t="e">
        <f t="shared" si="294"/>
        <v>#N/A</v>
      </c>
      <c r="BV200" s="62" t="e">
        <f t="shared" si="294"/>
        <v>#N/A</v>
      </c>
      <c r="BW200" s="62" t="e">
        <f t="shared" si="294"/>
        <v>#N/A</v>
      </c>
      <c r="BX200" s="62" t="e">
        <f t="shared" si="294"/>
        <v>#N/A</v>
      </c>
      <c r="BY200" s="62" t="e">
        <f t="shared" si="294"/>
        <v>#N/A</v>
      </c>
    </row>
    <row r="201" spans="15:77" x14ac:dyDescent="0.5">
      <c r="O201" s="17"/>
      <c r="Q201" s="62">
        <v>8.9999999999998997E-2</v>
      </c>
      <c r="R201" s="62" t="e">
        <f t="shared" si="274"/>
        <v>#DIV/0!</v>
      </c>
      <c r="S201" s="62" t="e">
        <f t="shared" si="275"/>
        <v>#DIV/0!</v>
      </c>
      <c r="T201" s="62" t="e">
        <f t="shared" si="276"/>
        <v>#DIV/0!</v>
      </c>
      <c r="U201" s="62" t="e">
        <f t="shared" si="277"/>
        <v>#DIV/0!</v>
      </c>
      <c r="V201" s="62" t="e">
        <f t="shared" si="278"/>
        <v>#DIV/0!</v>
      </c>
      <c r="W201" s="59" t="e">
        <f t="shared" si="283"/>
        <v>#DIV/0!</v>
      </c>
      <c r="X201" s="101" t="e">
        <f t="shared" si="279"/>
        <v>#DIV/0!</v>
      </c>
      <c r="Y201" s="104"/>
      <c r="AA201" s="62" t="e">
        <f t="shared" si="280"/>
        <v>#DIV/0!</v>
      </c>
      <c r="AF201" s="62">
        <v>0.62</v>
      </c>
      <c r="AG201" s="62" t="e">
        <f t="shared" si="252"/>
        <v>#DIV/0!</v>
      </c>
      <c r="AH201" s="62" t="e">
        <f t="shared" si="253"/>
        <v>#DIV/0!</v>
      </c>
      <c r="AI201" s="62" t="e">
        <f t="shared" si="268"/>
        <v>#DIV/0!</v>
      </c>
      <c r="AJ201" s="62" t="e">
        <f t="shared" si="269"/>
        <v>#DIV/0!</v>
      </c>
      <c r="AK201" s="62" t="e">
        <f t="shared" si="284"/>
        <v>#DIV/0!</v>
      </c>
      <c r="AL201" s="59" t="e">
        <f t="shared" si="263"/>
        <v>#DIV/0!</v>
      </c>
      <c r="AM201" s="101" t="e">
        <f t="shared" si="258"/>
        <v>#DIV/0!</v>
      </c>
      <c r="AN201" s="55"/>
      <c r="AP201" s="59" t="s">
        <v>46</v>
      </c>
      <c r="AQ201" s="59"/>
      <c r="AR201" s="63" t="str">
        <f t="shared" ref="AR201:BF201" si="295">IF(AR9="","",AR9*AR197)</f>
        <v/>
      </c>
      <c r="AS201" s="63" t="str">
        <f t="shared" si="295"/>
        <v/>
      </c>
      <c r="AT201" s="63" t="str">
        <f t="shared" si="295"/>
        <v/>
      </c>
      <c r="AU201" s="63" t="str">
        <f t="shared" si="295"/>
        <v/>
      </c>
      <c r="AV201" s="63" t="str">
        <f t="shared" si="295"/>
        <v/>
      </c>
      <c r="AW201" s="63" t="str">
        <f t="shared" si="295"/>
        <v/>
      </c>
      <c r="AX201" s="63" t="str">
        <f t="shared" si="295"/>
        <v/>
      </c>
      <c r="AY201" s="63" t="str">
        <f t="shared" si="295"/>
        <v/>
      </c>
      <c r="AZ201" s="63" t="str">
        <f t="shared" si="295"/>
        <v/>
      </c>
      <c r="BA201" s="63" t="str">
        <f t="shared" si="295"/>
        <v/>
      </c>
      <c r="BB201" s="63" t="str">
        <f t="shared" si="295"/>
        <v/>
      </c>
      <c r="BC201" s="63" t="str">
        <f t="shared" si="295"/>
        <v/>
      </c>
      <c r="BD201" s="63" t="str">
        <f t="shared" si="295"/>
        <v/>
      </c>
      <c r="BE201" s="63" t="str">
        <f t="shared" si="295"/>
        <v/>
      </c>
      <c r="BF201" s="63" t="str">
        <f t="shared" si="295"/>
        <v/>
      </c>
      <c r="BI201" s="59" t="s">
        <v>46</v>
      </c>
      <c r="BJ201" s="59"/>
      <c r="BK201" s="62" t="e">
        <f t="shared" ref="BK201:BY201" si="296">IF(AR9="",NA(),AR9*AR197)</f>
        <v>#N/A</v>
      </c>
      <c r="BL201" s="62" t="e">
        <f t="shared" si="296"/>
        <v>#N/A</v>
      </c>
      <c r="BM201" s="62" t="e">
        <f t="shared" si="296"/>
        <v>#N/A</v>
      </c>
      <c r="BN201" s="62" t="e">
        <f t="shared" si="296"/>
        <v>#N/A</v>
      </c>
      <c r="BO201" s="62" t="e">
        <f t="shared" si="296"/>
        <v>#N/A</v>
      </c>
      <c r="BP201" s="62" t="e">
        <f t="shared" si="296"/>
        <v>#N/A</v>
      </c>
      <c r="BQ201" s="62" t="e">
        <f t="shared" si="296"/>
        <v>#N/A</v>
      </c>
      <c r="BR201" s="62" t="e">
        <f t="shared" si="296"/>
        <v>#N/A</v>
      </c>
      <c r="BS201" s="62" t="e">
        <f t="shared" si="296"/>
        <v>#N/A</v>
      </c>
      <c r="BT201" s="62" t="e">
        <f t="shared" si="296"/>
        <v>#N/A</v>
      </c>
      <c r="BU201" s="62" t="e">
        <f t="shared" si="296"/>
        <v>#N/A</v>
      </c>
      <c r="BV201" s="62" t="e">
        <f t="shared" si="296"/>
        <v>#N/A</v>
      </c>
      <c r="BW201" s="62" t="e">
        <f t="shared" si="296"/>
        <v>#N/A</v>
      </c>
      <c r="BX201" s="62" t="e">
        <f t="shared" si="296"/>
        <v>#N/A</v>
      </c>
      <c r="BY201" s="62" t="e">
        <f t="shared" si="296"/>
        <v>#N/A</v>
      </c>
    </row>
    <row r="202" spans="15:77" x14ac:dyDescent="0.5">
      <c r="O202" s="17"/>
      <c r="Q202" s="62">
        <v>7.9999999999999002E-2</v>
      </c>
      <c r="R202" s="62" t="e">
        <f t="shared" si="274"/>
        <v>#DIV/0!</v>
      </c>
      <c r="S202" s="62" t="e">
        <f t="shared" si="275"/>
        <v>#DIV/0!</v>
      </c>
      <c r="T202" s="62" t="e">
        <f t="shared" si="276"/>
        <v>#DIV/0!</v>
      </c>
      <c r="U202" s="62" t="e">
        <f t="shared" si="277"/>
        <v>#DIV/0!</v>
      </c>
      <c r="V202" s="62" t="e">
        <f t="shared" si="278"/>
        <v>#DIV/0!</v>
      </c>
      <c r="W202" s="59" t="e">
        <f t="shared" si="283"/>
        <v>#DIV/0!</v>
      </c>
      <c r="X202" s="101" t="e">
        <f t="shared" si="279"/>
        <v>#DIV/0!</v>
      </c>
      <c r="Y202" s="104"/>
      <c r="AA202" s="62" t="e">
        <f t="shared" si="280"/>
        <v>#DIV/0!</v>
      </c>
      <c r="AF202" s="62">
        <v>0.61</v>
      </c>
      <c r="AG202" s="62" t="e">
        <f t="shared" si="252"/>
        <v>#DIV/0!</v>
      </c>
      <c r="AH202" s="62" t="e">
        <f t="shared" si="253"/>
        <v>#DIV/0!</v>
      </c>
      <c r="AI202" s="62" t="e">
        <f t="shared" si="268"/>
        <v>#DIV/0!</v>
      </c>
      <c r="AJ202" s="62" t="e">
        <f t="shared" si="269"/>
        <v>#DIV/0!</v>
      </c>
      <c r="AK202" s="62" t="e">
        <f t="shared" si="284"/>
        <v>#DIV/0!</v>
      </c>
      <c r="AL202" s="59" t="e">
        <f t="shared" si="263"/>
        <v>#DIV/0!</v>
      </c>
      <c r="AM202" s="101" t="e">
        <f t="shared" si="258"/>
        <v>#DIV/0!</v>
      </c>
      <c r="AN202" s="55"/>
      <c r="BK202" s="55"/>
      <c r="BL202" s="55"/>
      <c r="BM202" s="55"/>
      <c r="BN202" s="55"/>
      <c r="BO202" s="55"/>
      <c r="BP202" s="55"/>
      <c r="BQ202" s="55"/>
      <c r="BR202" s="55"/>
      <c r="BS202" s="55"/>
      <c r="BT202" s="55"/>
      <c r="BU202" s="55"/>
      <c r="BV202" s="55"/>
      <c r="BW202" s="55"/>
      <c r="BX202" s="55"/>
      <c r="BY202" s="55"/>
    </row>
    <row r="203" spans="15:77" x14ac:dyDescent="0.5">
      <c r="O203" s="17"/>
      <c r="Q203" s="62">
        <v>6.9999999999998994E-2</v>
      </c>
      <c r="R203" s="62" t="e">
        <f t="shared" si="274"/>
        <v>#DIV/0!</v>
      </c>
      <c r="S203" s="62" t="e">
        <f t="shared" si="275"/>
        <v>#DIV/0!</v>
      </c>
      <c r="T203" s="62" t="e">
        <f t="shared" si="276"/>
        <v>#DIV/0!</v>
      </c>
      <c r="U203" s="62" t="e">
        <f t="shared" si="277"/>
        <v>#DIV/0!</v>
      </c>
      <c r="V203" s="62" t="e">
        <f t="shared" si="278"/>
        <v>#DIV/0!</v>
      </c>
      <c r="W203" s="59" t="e">
        <f t="shared" si="283"/>
        <v>#DIV/0!</v>
      </c>
      <c r="X203" s="101" t="e">
        <f t="shared" si="279"/>
        <v>#DIV/0!</v>
      </c>
      <c r="Y203" s="104"/>
      <c r="AA203" s="62" t="e">
        <f t="shared" si="280"/>
        <v>#DIV/0!</v>
      </c>
      <c r="AF203" s="62">
        <v>0.6</v>
      </c>
      <c r="AG203" s="62" t="e">
        <f t="shared" si="252"/>
        <v>#DIV/0!</v>
      </c>
      <c r="AH203" s="62" t="e">
        <f t="shared" si="253"/>
        <v>#DIV/0!</v>
      </c>
      <c r="AI203" s="62" t="e">
        <f t="shared" si="268"/>
        <v>#DIV/0!</v>
      </c>
      <c r="AJ203" s="62" t="e">
        <f t="shared" si="269"/>
        <v>#DIV/0!</v>
      </c>
      <c r="AK203" s="62" t="e">
        <f t="shared" si="284"/>
        <v>#DIV/0!</v>
      </c>
      <c r="AL203" s="59" t="e">
        <f t="shared" si="263"/>
        <v>#DIV/0!</v>
      </c>
      <c r="AM203" s="101" t="e">
        <f t="shared" si="258"/>
        <v>#DIV/0!</v>
      </c>
      <c r="AN203" s="55"/>
      <c r="AP203" s="53" t="s">
        <v>49</v>
      </c>
      <c r="BI203" s="53" t="s">
        <v>49</v>
      </c>
      <c r="BK203" s="55"/>
      <c r="BL203" s="55"/>
      <c r="BM203" s="55"/>
      <c r="BN203" s="55"/>
      <c r="BO203" s="55"/>
      <c r="BP203" s="55"/>
      <c r="BQ203" s="55"/>
      <c r="BR203" s="55"/>
      <c r="BS203" s="55"/>
      <c r="BT203" s="55"/>
      <c r="BU203" s="55"/>
      <c r="BV203" s="55"/>
      <c r="BW203" s="55"/>
      <c r="BX203" s="55"/>
      <c r="BY203" s="55"/>
    </row>
    <row r="204" spans="15:77" x14ac:dyDescent="0.5">
      <c r="O204" s="17"/>
      <c r="Q204" s="62">
        <v>5.9999999999999103E-2</v>
      </c>
      <c r="R204" s="62" t="e">
        <f t="shared" si="274"/>
        <v>#DIV/0!</v>
      </c>
      <c r="S204" s="62" t="e">
        <f t="shared" si="275"/>
        <v>#DIV/0!</v>
      </c>
      <c r="T204" s="62" t="e">
        <f t="shared" si="276"/>
        <v>#DIV/0!</v>
      </c>
      <c r="U204" s="62" t="e">
        <f t="shared" si="277"/>
        <v>#DIV/0!</v>
      </c>
      <c r="V204" s="62" t="e">
        <f t="shared" si="278"/>
        <v>#DIV/0!</v>
      </c>
      <c r="W204" s="59" t="e">
        <f t="shared" si="283"/>
        <v>#DIV/0!</v>
      </c>
      <c r="X204" s="101" t="e">
        <f t="shared" si="279"/>
        <v>#DIV/0!</v>
      </c>
      <c r="Y204" s="104"/>
      <c r="AA204" s="62" t="e">
        <f t="shared" si="280"/>
        <v>#DIV/0!</v>
      </c>
      <c r="AF204" s="62">
        <v>0.59</v>
      </c>
      <c r="AG204" s="62" t="e">
        <f t="shared" si="252"/>
        <v>#DIV/0!</v>
      </c>
      <c r="AH204" s="62" t="e">
        <f t="shared" si="253"/>
        <v>#DIV/0!</v>
      </c>
      <c r="AI204" s="62" t="e">
        <f t="shared" si="268"/>
        <v>#DIV/0!</v>
      </c>
      <c r="AJ204" s="62" t="e">
        <f t="shared" si="269"/>
        <v>#DIV/0!</v>
      </c>
      <c r="AK204" s="62" t="e">
        <f t="shared" si="284"/>
        <v>#DIV/0!</v>
      </c>
      <c r="AL204" s="59" t="e">
        <f t="shared" si="263"/>
        <v>#DIV/0!</v>
      </c>
      <c r="AM204" s="101" t="e">
        <f t="shared" si="258"/>
        <v>#DIV/0!</v>
      </c>
      <c r="AN204" s="55"/>
      <c r="AP204" s="65" t="s">
        <v>23</v>
      </c>
      <c r="AQ204" s="59"/>
      <c r="AR204" s="63" t="str">
        <f t="shared" ref="AR204:BF204" si="297">IF(AR$166=0,AR9,"")</f>
        <v/>
      </c>
      <c r="AS204" s="63" t="str">
        <f t="shared" si="297"/>
        <v/>
      </c>
      <c r="AT204" s="63" t="str">
        <f t="shared" si="297"/>
        <v/>
      </c>
      <c r="AU204" s="63" t="str">
        <f t="shared" si="297"/>
        <v/>
      </c>
      <c r="AV204" s="63" t="str">
        <f t="shared" si="297"/>
        <v/>
      </c>
      <c r="AW204" s="63" t="str">
        <f t="shared" si="297"/>
        <v/>
      </c>
      <c r="AX204" s="63" t="str">
        <f t="shared" si="297"/>
        <v/>
      </c>
      <c r="AY204" s="63" t="str">
        <f t="shared" si="297"/>
        <v/>
      </c>
      <c r="AZ204" s="63" t="str">
        <f t="shared" si="297"/>
        <v/>
      </c>
      <c r="BA204" s="63" t="str">
        <f t="shared" si="297"/>
        <v/>
      </c>
      <c r="BB204" s="63" t="str">
        <f t="shared" si="297"/>
        <v/>
      </c>
      <c r="BC204" s="63" t="str">
        <f t="shared" si="297"/>
        <v/>
      </c>
      <c r="BD204" s="63" t="str">
        <f t="shared" si="297"/>
        <v/>
      </c>
      <c r="BE204" s="63" t="str">
        <f t="shared" si="297"/>
        <v/>
      </c>
      <c r="BF204" s="63" t="str">
        <f t="shared" si="297"/>
        <v/>
      </c>
      <c r="BI204" s="65" t="s">
        <v>23</v>
      </c>
      <c r="BJ204" s="59"/>
      <c r="BK204" s="62" t="e">
        <f t="shared" ref="BK204:BY206" si="298">IF(AR$166=0,AR9,NA())</f>
        <v>#N/A</v>
      </c>
      <c r="BL204" s="62" t="e">
        <f t="shared" si="298"/>
        <v>#N/A</v>
      </c>
      <c r="BM204" s="62" t="e">
        <f t="shared" si="298"/>
        <v>#N/A</v>
      </c>
      <c r="BN204" s="62" t="e">
        <f t="shared" si="298"/>
        <v>#N/A</v>
      </c>
      <c r="BO204" s="62" t="e">
        <f t="shared" si="298"/>
        <v>#N/A</v>
      </c>
      <c r="BP204" s="62" t="e">
        <f t="shared" si="298"/>
        <v>#N/A</v>
      </c>
      <c r="BQ204" s="62" t="e">
        <f t="shared" si="298"/>
        <v>#N/A</v>
      </c>
      <c r="BR204" s="62" t="e">
        <f t="shared" si="298"/>
        <v>#N/A</v>
      </c>
      <c r="BS204" s="62" t="e">
        <f t="shared" si="298"/>
        <v>#N/A</v>
      </c>
      <c r="BT204" s="62" t="e">
        <f t="shared" si="298"/>
        <v>#N/A</v>
      </c>
      <c r="BU204" s="62" t="e">
        <f t="shared" si="298"/>
        <v>#N/A</v>
      </c>
      <c r="BV204" s="62" t="e">
        <f t="shared" si="298"/>
        <v>#N/A</v>
      </c>
      <c r="BW204" s="62" t="e">
        <f t="shared" si="298"/>
        <v>#N/A</v>
      </c>
      <c r="BX204" s="62" t="e">
        <f t="shared" si="298"/>
        <v>#N/A</v>
      </c>
      <c r="BY204" s="62" t="e">
        <f t="shared" si="298"/>
        <v>#N/A</v>
      </c>
    </row>
    <row r="205" spans="15:77" x14ac:dyDescent="0.5">
      <c r="O205" s="17"/>
      <c r="Q205" s="62">
        <v>4.9999999999998997E-2</v>
      </c>
      <c r="R205" s="62" t="e">
        <f t="shared" si="274"/>
        <v>#DIV/0!</v>
      </c>
      <c r="S205" s="62" t="e">
        <f t="shared" si="275"/>
        <v>#DIV/0!</v>
      </c>
      <c r="T205" s="62" t="e">
        <f t="shared" si="276"/>
        <v>#DIV/0!</v>
      </c>
      <c r="U205" s="62" t="e">
        <f t="shared" si="277"/>
        <v>#DIV/0!</v>
      </c>
      <c r="V205" s="62" t="e">
        <f t="shared" si="278"/>
        <v>#DIV/0!</v>
      </c>
      <c r="W205" s="59" t="e">
        <f t="shared" si="283"/>
        <v>#DIV/0!</v>
      </c>
      <c r="X205" s="101" t="e">
        <f t="shared" si="279"/>
        <v>#DIV/0!</v>
      </c>
      <c r="Y205" s="104"/>
      <c r="AA205" s="62" t="e">
        <f t="shared" si="280"/>
        <v>#DIV/0!</v>
      </c>
      <c r="AF205" s="62">
        <v>0.57999999999999996</v>
      </c>
      <c r="AG205" s="62" t="e">
        <f t="shared" si="252"/>
        <v>#DIV/0!</v>
      </c>
      <c r="AH205" s="62" t="e">
        <f t="shared" si="253"/>
        <v>#DIV/0!</v>
      </c>
      <c r="AI205" s="62" t="e">
        <f t="shared" si="268"/>
        <v>#DIV/0!</v>
      </c>
      <c r="AJ205" s="62" t="e">
        <f t="shared" si="269"/>
        <v>#DIV/0!</v>
      </c>
      <c r="AK205" s="62" t="e">
        <f t="shared" si="284"/>
        <v>#DIV/0!</v>
      </c>
      <c r="AL205" s="59" t="e">
        <f t="shared" si="263"/>
        <v>#DIV/0!</v>
      </c>
      <c r="AM205" s="101" t="e">
        <f t="shared" si="258"/>
        <v>#DIV/0!</v>
      </c>
      <c r="AN205" s="55"/>
      <c r="AP205" s="67" t="s">
        <v>18</v>
      </c>
      <c r="AQ205" s="59"/>
      <c r="AR205" s="63" t="str">
        <f t="shared" ref="AR205:BF205" si="299">IF(AR$166=0,AR10,"")</f>
        <v/>
      </c>
      <c r="AS205" s="63" t="str">
        <f t="shared" si="299"/>
        <v/>
      </c>
      <c r="AT205" s="63" t="str">
        <f t="shared" si="299"/>
        <v/>
      </c>
      <c r="AU205" s="63" t="str">
        <f t="shared" si="299"/>
        <v/>
      </c>
      <c r="AV205" s="63" t="str">
        <f t="shared" si="299"/>
        <v/>
      </c>
      <c r="AW205" s="63" t="str">
        <f t="shared" si="299"/>
        <v/>
      </c>
      <c r="AX205" s="63" t="str">
        <f t="shared" si="299"/>
        <v/>
      </c>
      <c r="AY205" s="63" t="str">
        <f t="shared" si="299"/>
        <v/>
      </c>
      <c r="AZ205" s="63" t="str">
        <f t="shared" si="299"/>
        <v/>
      </c>
      <c r="BA205" s="63" t="str">
        <f t="shared" si="299"/>
        <v/>
      </c>
      <c r="BB205" s="63" t="str">
        <f t="shared" si="299"/>
        <v/>
      </c>
      <c r="BC205" s="63" t="str">
        <f t="shared" si="299"/>
        <v/>
      </c>
      <c r="BD205" s="63" t="str">
        <f t="shared" si="299"/>
        <v/>
      </c>
      <c r="BE205" s="63" t="str">
        <f t="shared" si="299"/>
        <v/>
      </c>
      <c r="BF205" s="63" t="str">
        <f t="shared" si="299"/>
        <v/>
      </c>
      <c r="BI205" s="67" t="s">
        <v>18</v>
      </c>
      <c r="BJ205" s="59"/>
      <c r="BK205" s="62" t="e">
        <f t="shared" si="298"/>
        <v>#N/A</v>
      </c>
      <c r="BL205" s="62" t="e">
        <f t="shared" si="298"/>
        <v>#N/A</v>
      </c>
      <c r="BM205" s="62" t="e">
        <f t="shared" si="298"/>
        <v>#N/A</v>
      </c>
      <c r="BN205" s="62" t="e">
        <f t="shared" si="298"/>
        <v>#N/A</v>
      </c>
      <c r="BO205" s="62" t="e">
        <f t="shared" si="298"/>
        <v>#N/A</v>
      </c>
      <c r="BP205" s="62" t="e">
        <f t="shared" si="298"/>
        <v>#N/A</v>
      </c>
      <c r="BQ205" s="62" t="e">
        <f t="shared" si="298"/>
        <v>#N/A</v>
      </c>
      <c r="BR205" s="62" t="e">
        <f t="shared" si="298"/>
        <v>#N/A</v>
      </c>
      <c r="BS205" s="62" t="e">
        <f t="shared" si="298"/>
        <v>#N/A</v>
      </c>
      <c r="BT205" s="62" t="e">
        <f t="shared" si="298"/>
        <v>#N/A</v>
      </c>
      <c r="BU205" s="62" t="e">
        <f t="shared" si="298"/>
        <v>#N/A</v>
      </c>
      <c r="BV205" s="62" t="e">
        <f t="shared" si="298"/>
        <v>#N/A</v>
      </c>
      <c r="BW205" s="62" t="e">
        <f t="shared" si="298"/>
        <v>#N/A</v>
      </c>
      <c r="BX205" s="62" t="e">
        <f t="shared" si="298"/>
        <v>#N/A</v>
      </c>
      <c r="BY205" s="62" t="e">
        <f t="shared" si="298"/>
        <v>#N/A</v>
      </c>
    </row>
    <row r="206" spans="15:77" x14ac:dyDescent="0.5">
      <c r="O206" s="17"/>
      <c r="Q206" s="62">
        <v>3.9999999999999002E-2</v>
      </c>
      <c r="R206" s="62" t="e">
        <f t="shared" si="274"/>
        <v>#DIV/0!</v>
      </c>
      <c r="S206" s="62" t="e">
        <f t="shared" si="275"/>
        <v>#DIV/0!</v>
      </c>
      <c r="T206" s="62" t="e">
        <f t="shared" si="276"/>
        <v>#DIV/0!</v>
      </c>
      <c r="U206" s="62" t="e">
        <f t="shared" ref="U206:U210" si="300">(1/(1+EXP($AT$122-T206/$AT$119)^$AT$121))*((T206-$AT$119)/$AT$120)+(1/(1+EXP(T206/$AT$119-$AT$122)^$AT$121))*((($AT$116-T206)*$AT$118)/(T206+$AT$117))</f>
        <v>#DIV/0!</v>
      </c>
      <c r="V206" s="62" t="e">
        <f>T206*U206</f>
        <v>#DIV/0!</v>
      </c>
      <c r="W206" s="59" t="e">
        <f>ROUND(SLOPE(T201:T214,U201:U214),0)</f>
        <v>#DIV/0!</v>
      </c>
      <c r="X206" s="101" t="e">
        <f t="shared" si="279"/>
        <v>#DIV/0!</v>
      </c>
      <c r="Y206" s="104"/>
      <c r="AA206" s="62" t="e">
        <f t="shared" si="280"/>
        <v>#DIV/0!</v>
      </c>
      <c r="AF206" s="62">
        <v>0.56999999999999995</v>
      </c>
      <c r="AG206" s="62" t="e">
        <f t="shared" si="252"/>
        <v>#DIV/0!</v>
      </c>
      <c r="AH206" s="62" t="e">
        <f t="shared" si="253"/>
        <v>#DIV/0!</v>
      </c>
      <c r="AI206" s="62" t="e">
        <f t="shared" si="268"/>
        <v>#DIV/0!</v>
      </c>
      <c r="AJ206" s="62" t="e">
        <f t="shared" si="269"/>
        <v>#DIV/0!</v>
      </c>
      <c r="AK206" s="62" t="e">
        <f t="shared" si="284"/>
        <v>#DIV/0!</v>
      </c>
      <c r="AL206" s="59" t="e">
        <f t="shared" si="263"/>
        <v>#DIV/0!</v>
      </c>
      <c r="AM206" s="101" t="e">
        <f t="shared" si="258"/>
        <v>#DIV/0!</v>
      </c>
      <c r="AN206" s="55"/>
      <c r="AP206" s="67" t="s">
        <v>0</v>
      </c>
      <c r="AQ206" s="59"/>
      <c r="AR206" s="63" t="str">
        <f t="shared" ref="AR206:BF206" si="301">IF(AR$166=0,AR11,"")</f>
        <v/>
      </c>
      <c r="AS206" s="63" t="str">
        <f t="shared" si="301"/>
        <v/>
      </c>
      <c r="AT206" s="63" t="str">
        <f t="shared" si="301"/>
        <v/>
      </c>
      <c r="AU206" s="63" t="str">
        <f t="shared" si="301"/>
        <v/>
      </c>
      <c r="AV206" s="63" t="str">
        <f t="shared" si="301"/>
        <v/>
      </c>
      <c r="AW206" s="63" t="str">
        <f t="shared" si="301"/>
        <v/>
      </c>
      <c r="AX206" s="63" t="str">
        <f t="shared" si="301"/>
        <v/>
      </c>
      <c r="AY206" s="63" t="str">
        <f t="shared" si="301"/>
        <v/>
      </c>
      <c r="AZ206" s="63" t="str">
        <f t="shared" si="301"/>
        <v/>
      </c>
      <c r="BA206" s="63" t="str">
        <f t="shared" si="301"/>
        <v/>
      </c>
      <c r="BB206" s="63" t="str">
        <f t="shared" si="301"/>
        <v/>
      </c>
      <c r="BC206" s="63" t="str">
        <f t="shared" si="301"/>
        <v/>
      </c>
      <c r="BD206" s="63" t="str">
        <f t="shared" si="301"/>
        <v/>
      </c>
      <c r="BE206" s="63" t="str">
        <f t="shared" si="301"/>
        <v/>
      </c>
      <c r="BF206" s="63" t="str">
        <f t="shared" si="301"/>
        <v/>
      </c>
      <c r="BI206" s="67" t="s">
        <v>0</v>
      </c>
      <c r="BJ206" s="59"/>
      <c r="BK206" s="62" t="e">
        <f t="shared" si="298"/>
        <v>#N/A</v>
      </c>
      <c r="BL206" s="62" t="e">
        <f t="shared" si="298"/>
        <v>#N/A</v>
      </c>
      <c r="BM206" s="62" t="e">
        <f t="shared" si="298"/>
        <v>#N/A</v>
      </c>
      <c r="BN206" s="62" t="e">
        <f t="shared" si="298"/>
        <v>#N/A</v>
      </c>
      <c r="BO206" s="62" t="e">
        <f t="shared" si="298"/>
        <v>#N/A</v>
      </c>
      <c r="BP206" s="62" t="e">
        <f t="shared" si="298"/>
        <v>#N/A</v>
      </c>
      <c r="BQ206" s="62" t="e">
        <f t="shared" si="298"/>
        <v>#N/A</v>
      </c>
      <c r="BR206" s="62" t="e">
        <f t="shared" si="298"/>
        <v>#N/A</v>
      </c>
      <c r="BS206" s="62" t="e">
        <f t="shared" si="298"/>
        <v>#N/A</v>
      </c>
      <c r="BT206" s="62" t="e">
        <f t="shared" si="298"/>
        <v>#N/A</v>
      </c>
      <c r="BU206" s="62" t="e">
        <f t="shared" si="298"/>
        <v>#N/A</v>
      </c>
      <c r="BV206" s="62" t="e">
        <f t="shared" si="298"/>
        <v>#N/A</v>
      </c>
      <c r="BW206" s="62" t="e">
        <f t="shared" si="298"/>
        <v>#N/A</v>
      </c>
      <c r="BX206" s="62" t="e">
        <f t="shared" si="298"/>
        <v>#N/A</v>
      </c>
      <c r="BY206" s="62" t="e">
        <f t="shared" si="298"/>
        <v>#N/A</v>
      </c>
    </row>
    <row r="207" spans="15:77" x14ac:dyDescent="0.5">
      <c r="O207" s="17"/>
      <c r="Q207" s="62">
        <v>2.9999999999999E-2</v>
      </c>
      <c r="R207" s="62" t="e">
        <f t="shared" si="274"/>
        <v>#DIV/0!</v>
      </c>
      <c r="S207" s="62" t="e">
        <f t="shared" si="275"/>
        <v>#DIV/0!</v>
      </c>
      <c r="T207" s="62" t="e">
        <f t="shared" si="276"/>
        <v>#DIV/0!</v>
      </c>
      <c r="U207" s="62" t="e">
        <f t="shared" si="300"/>
        <v>#DIV/0!</v>
      </c>
      <c r="V207" s="62" t="e">
        <f>T207*U207</f>
        <v>#DIV/0!</v>
      </c>
      <c r="W207" s="59" t="e">
        <f>ROUND(SLOPE(T202:T215,U202:U215),0)</f>
        <v>#DIV/0!</v>
      </c>
      <c r="X207" s="101" t="e">
        <f>ROUND(((W206-W207)/$W$110),4)</f>
        <v>#DIV/0!</v>
      </c>
      <c r="Y207" s="104"/>
      <c r="AA207" s="62" t="e">
        <f t="shared" si="280"/>
        <v>#DIV/0!</v>
      </c>
      <c r="AF207" s="62">
        <v>0.56000000000000005</v>
      </c>
      <c r="AG207" s="62" t="e">
        <f t="shared" si="252"/>
        <v>#DIV/0!</v>
      </c>
      <c r="AH207" s="62" t="e">
        <f t="shared" si="253"/>
        <v>#DIV/0!</v>
      </c>
      <c r="AI207" s="62" t="e">
        <f t="shared" si="268"/>
        <v>#DIV/0!</v>
      </c>
      <c r="AJ207" s="62" t="e">
        <f t="shared" si="269"/>
        <v>#DIV/0!</v>
      </c>
      <c r="AK207" s="62" t="e">
        <f t="shared" si="284"/>
        <v>#DIV/0!</v>
      </c>
      <c r="AL207" s="59" t="e">
        <f t="shared" si="263"/>
        <v>#DIV/0!</v>
      </c>
      <c r="AM207" s="101" t="e">
        <f t="shared" si="258"/>
        <v>#DIV/0!</v>
      </c>
      <c r="AN207" s="55"/>
      <c r="BK207" s="55"/>
      <c r="BL207" s="55"/>
      <c r="BM207" s="55"/>
      <c r="BN207" s="55"/>
      <c r="BO207" s="55"/>
      <c r="BP207" s="55"/>
      <c r="BQ207" s="55"/>
      <c r="BR207" s="55"/>
      <c r="BS207" s="55"/>
      <c r="BT207" s="55"/>
      <c r="BU207" s="55"/>
      <c r="BV207" s="55"/>
      <c r="BW207" s="55"/>
      <c r="BX207" s="55"/>
      <c r="BY207" s="55"/>
    </row>
    <row r="208" spans="15:77" x14ac:dyDescent="0.5">
      <c r="O208" s="17"/>
      <c r="Q208" s="62">
        <v>1.9999999999999001E-2</v>
      </c>
      <c r="R208" s="62" t="e">
        <f t="shared" si="274"/>
        <v>#DIV/0!</v>
      </c>
      <c r="S208" s="62" t="e">
        <f t="shared" si="275"/>
        <v>#DIV/0!</v>
      </c>
      <c r="T208" s="62" t="e">
        <f t="shared" si="276"/>
        <v>#DIV/0!</v>
      </c>
      <c r="U208" s="62" t="e">
        <f t="shared" si="300"/>
        <v>#DIV/0!</v>
      </c>
      <c r="V208" s="62" t="e">
        <f>T208*U208</f>
        <v>#DIV/0!</v>
      </c>
      <c r="W208" s="59" t="e">
        <f>ROUND(SLOPE(T203:T216,U203:U216),0)</f>
        <v>#DIV/0!</v>
      </c>
      <c r="X208" s="101" t="e">
        <f>ROUND(((W207-W208)/$W$110),4)</f>
        <v>#DIV/0!</v>
      </c>
      <c r="Y208" s="104"/>
      <c r="AA208" s="62" t="e">
        <f t="shared" si="280"/>
        <v>#DIV/0!</v>
      </c>
      <c r="AF208" s="62">
        <v>0.55000000000000004</v>
      </c>
      <c r="AG208" s="62" t="e">
        <f t="shared" si="252"/>
        <v>#DIV/0!</v>
      </c>
      <c r="AH208" s="62" t="e">
        <f t="shared" si="253"/>
        <v>#DIV/0!</v>
      </c>
      <c r="AI208" s="62" t="e">
        <f t="shared" si="268"/>
        <v>#DIV/0!</v>
      </c>
      <c r="AJ208" s="62" t="e">
        <f t="shared" si="269"/>
        <v>#DIV/0!</v>
      </c>
      <c r="AK208" s="62" t="e">
        <f t="shared" si="284"/>
        <v>#DIV/0!</v>
      </c>
      <c r="AL208" s="59" t="e">
        <f t="shared" si="263"/>
        <v>#DIV/0!</v>
      </c>
      <c r="AM208" s="101" t="e">
        <f t="shared" si="258"/>
        <v>#DIV/0!</v>
      </c>
      <c r="AN208" s="55"/>
      <c r="AP208" s="53" t="s">
        <v>81</v>
      </c>
      <c r="BI208" s="53" t="s">
        <v>81</v>
      </c>
      <c r="BK208" s="55"/>
      <c r="BL208" s="55"/>
      <c r="BM208" s="55"/>
      <c r="BN208" s="55"/>
      <c r="BO208" s="55"/>
      <c r="BP208" s="55"/>
      <c r="BQ208" s="55"/>
      <c r="BR208" s="55"/>
      <c r="BS208" s="55"/>
      <c r="BT208" s="55"/>
      <c r="BU208" s="55"/>
      <c r="BV208" s="55"/>
      <c r="BW208" s="55"/>
      <c r="BX208" s="55"/>
      <c r="BY208" s="55"/>
    </row>
    <row r="209" spans="15:77" x14ac:dyDescent="0.5">
      <c r="O209" s="17"/>
      <c r="Q209" s="62">
        <v>9.9999999999990097E-3</v>
      </c>
      <c r="R209" s="62" t="e">
        <f t="shared" si="274"/>
        <v>#DIV/0!</v>
      </c>
      <c r="S209" s="62" t="e">
        <f t="shared" si="275"/>
        <v>#DIV/0!</v>
      </c>
      <c r="T209" s="62" t="e">
        <f t="shared" si="276"/>
        <v>#DIV/0!</v>
      </c>
      <c r="U209" s="62" t="e">
        <f t="shared" si="300"/>
        <v>#DIV/0!</v>
      </c>
      <c r="V209" s="62" t="e">
        <f>T209*U209</f>
        <v>#DIV/0!</v>
      </c>
      <c r="W209" s="59" t="e">
        <f>ROUND(SLOPE(T204:T217,U204:U217),0)</f>
        <v>#DIV/0!</v>
      </c>
      <c r="X209" s="101" t="e">
        <f>ROUND(((W208-W209)/$W$110),4)</f>
        <v>#DIV/0!</v>
      </c>
      <c r="Y209" s="104"/>
      <c r="AA209" s="62" t="e">
        <f t="shared" si="280"/>
        <v>#DIV/0!</v>
      </c>
      <c r="AF209" s="62">
        <v>0.54</v>
      </c>
      <c r="AG209" s="62" t="e">
        <f t="shared" si="252"/>
        <v>#DIV/0!</v>
      </c>
      <c r="AH209" s="62" t="e">
        <f t="shared" si="253"/>
        <v>#DIV/0!</v>
      </c>
      <c r="AI209" s="62" t="e">
        <f t="shared" si="268"/>
        <v>#DIV/0!</v>
      </c>
      <c r="AJ209" s="62" t="e">
        <f t="shared" si="269"/>
        <v>#DIV/0!</v>
      </c>
      <c r="AK209" s="62" t="e">
        <f t="shared" si="284"/>
        <v>#DIV/0!</v>
      </c>
      <c r="AL209" s="59" t="e">
        <f t="shared" si="263"/>
        <v>#DIV/0!</v>
      </c>
      <c r="AM209" s="101" t="e">
        <f t="shared" si="258"/>
        <v>#DIV/0!</v>
      </c>
      <c r="AP209" s="59" t="s">
        <v>82</v>
      </c>
      <c r="AQ209" s="59"/>
      <c r="AR209" s="63" t="str">
        <f>IF(AR$166=1,AR10,"")</f>
        <v/>
      </c>
      <c r="AS209" s="63" t="str">
        <f>IF(AS$166=1,AS10,"")</f>
        <v/>
      </c>
      <c r="AT209" s="63" t="str">
        <f t="shared" ref="AT209:BF209" si="302">IF(AT$166=1,AT10,"")</f>
        <v/>
      </c>
      <c r="AU209" s="63" t="str">
        <f t="shared" si="302"/>
        <v/>
      </c>
      <c r="AV209" s="63" t="str">
        <f t="shared" si="302"/>
        <v/>
      </c>
      <c r="AW209" s="63" t="str">
        <f t="shared" si="302"/>
        <v/>
      </c>
      <c r="AX209" s="63" t="str">
        <f t="shared" si="302"/>
        <v/>
      </c>
      <c r="AY209" s="63" t="str">
        <f t="shared" si="302"/>
        <v/>
      </c>
      <c r="AZ209" s="63" t="str">
        <f t="shared" si="302"/>
        <v/>
      </c>
      <c r="BA209" s="63" t="str">
        <f t="shared" si="302"/>
        <v/>
      </c>
      <c r="BB209" s="63" t="str">
        <f t="shared" si="302"/>
        <v/>
      </c>
      <c r="BC209" s="63" t="str">
        <f t="shared" si="302"/>
        <v/>
      </c>
      <c r="BD209" s="63" t="str">
        <f t="shared" si="302"/>
        <v/>
      </c>
      <c r="BE209" s="63" t="str">
        <f t="shared" si="302"/>
        <v/>
      </c>
      <c r="BF209" s="63" t="str">
        <f t="shared" si="302"/>
        <v/>
      </c>
      <c r="BI209" s="59" t="s">
        <v>82</v>
      </c>
      <c r="BJ209" s="59"/>
      <c r="BK209" s="62" t="e">
        <f t="shared" ref="BK209:BY209" si="303">IF(AR$166=1,AR10,NA())</f>
        <v>#N/A</v>
      </c>
      <c r="BL209" s="62" t="e">
        <f t="shared" si="303"/>
        <v>#N/A</v>
      </c>
      <c r="BM209" s="62" t="e">
        <f t="shared" si="303"/>
        <v>#N/A</v>
      </c>
      <c r="BN209" s="62" t="e">
        <f t="shared" si="303"/>
        <v>#N/A</v>
      </c>
      <c r="BO209" s="62" t="e">
        <f t="shared" si="303"/>
        <v>#N/A</v>
      </c>
      <c r="BP209" s="62" t="e">
        <f t="shared" si="303"/>
        <v>#N/A</v>
      </c>
      <c r="BQ209" s="62" t="e">
        <f t="shared" si="303"/>
        <v>#N/A</v>
      </c>
      <c r="BR209" s="62" t="e">
        <f t="shared" si="303"/>
        <v>#N/A</v>
      </c>
      <c r="BS209" s="62" t="e">
        <f t="shared" si="303"/>
        <v>#N/A</v>
      </c>
      <c r="BT209" s="62" t="e">
        <f t="shared" si="303"/>
        <v>#N/A</v>
      </c>
      <c r="BU209" s="62" t="e">
        <f t="shared" si="303"/>
        <v>#N/A</v>
      </c>
      <c r="BV209" s="62" t="e">
        <f t="shared" si="303"/>
        <v>#N/A</v>
      </c>
      <c r="BW209" s="62" t="e">
        <f t="shared" si="303"/>
        <v>#N/A</v>
      </c>
      <c r="BX209" s="62" t="e">
        <f t="shared" si="303"/>
        <v>#N/A</v>
      </c>
      <c r="BY209" s="62" t="e">
        <f t="shared" si="303"/>
        <v>#N/A</v>
      </c>
    </row>
    <row r="210" spans="15:77" x14ac:dyDescent="0.5">
      <c r="O210" s="17"/>
      <c r="Q210" s="62">
        <v>0</v>
      </c>
      <c r="R210" s="62" t="e">
        <f t="shared" si="274"/>
        <v>#DIV/0!</v>
      </c>
      <c r="S210" s="62" t="e">
        <f t="shared" si="275"/>
        <v>#DIV/0!</v>
      </c>
      <c r="T210" s="62" t="e">
        <f t="shared" si="276"/>
        <v>#DIV/0!</v>
      </c>
      <c r="U210" s="62" t="e">
        <f t="shared" si="300"/>
        <v>#DIV/0!</v>
      </c>
      <c r="V210" s="62" t="e">
        <f>T210*U210</f>
        <v>#DIV/0!</v>
      </c>
      <c r="W210" s="59" t="e">
        <f>ROUND(SLOPE(T205:T218,U205:U218),0)</f>
        <v>#DIV/0!</v>
      </c>
      <c r="X210" s="101" t="e">
        <f>ROUND(((W209-W210)/$W$110),4)</f>
        <v>#DIV/0!</v>
      </c>
      <c r="Y210" s="104"/>
      <c r="AA210" s="62" t="e">
        <f t="shared" si="280"/>
        <v>#DIV/0!</v>
      </c>
      <c r="AF210" s="62">
        <v>0.53</v>
      </c>
      <c r="AG210" s="62" t="e">
        <f t="shared" si="252"/>
        <v>#DIV/0!</v>
      </c>
      <c r="AH210" s="62" t="e">
        <f t="shared" si="253"/>
        <v>#DIV/0!</v>
      </c>
      <c r="AI210" s="62" t="e">
        <f t="shared" si="268"/>
        <v>#DIV/0!</v>
      </c>
      <c r="AJ210" s="62" t="e">
        <f t="shared" si="269"/>
        <v>#DIV/0!</v>
      </c>
      <c r="AK210" s="62" t="e">
        <f t="shared" si="284"/>
        <v>#DIV/0!</v>
      </c>
      <c r="AL210" s="59" t="e">
        <f t="shared" si="263"/>
        <v>#DIV/0!</v>
      </c>
      <c r="AM210" s="101" t="e">
        <f t="shared" si="258"/>
        <v>#DIV/0!</v>
      </c>
      <c r="AP210" s="59" t="s">
        <v>83</v>
      </c>
      <c r="AQ210" s="59"/>
      <c r="AR210" s="63" t="str">
        <f>IF(AR$166=1,AR195,"")</f>
        <v/>
      </c>
      <c r="AS210" s="63" t="str">
        <f>IF(AS$166=1,AS195,"")</f>
        <v/>
      </c>
      <c r="AT210" s="63" t="str">
        <f t="shared" ref="AT210:AZ210" si="304">IF(AT$166=1,AT195,"")</f>
        <v/>
      </c>
      <c r="AU210" s="63" t="str">
        <f t="shared" si="304"/>
        <v/>
      </c>
      <c r="AV210" s="63" t="str">
        <f t="shared" si="304"/>
        <v/>
      </c>
      <c r="AW210" s="63" t="str">
        <f t="shared" si="304"/>
        <v/>
      </c>
      <c r="AX210" s="63" t="str">
        <f t="shared" si="304"/>
        <v/>
      </c>
      <c r="AY210" s="63" t="str">
        <f t="shared" si="304"/>
        <v/>
      </c>
      <c r="AZ210" s="63" t="str">
        <f t="shared" si="304"/>
        <v/>
      </c>
      <c r="BA210" s="63" t="str">
        <f t="shared" ref="BA210:BF210" si="305">IF(BA$166=1,BA195,"")</f>
        <v/>
      </c>
      <c r="BB210" s="63" t="str">
        <f t="shared" si="305"/>
        <v/>
      </c>
      <c r="BC210" s="63" t="str">
        <f t="shared" si="305"/>
        <v/>
      </c>
      <c r="BD210" s="63" t="str">
        <f t="shared" si="305"/>
        <v/>
      </c>
      <c r="BE210" s="63" t="str">
        <f t="shared" si="305"/>
        <v/>
      </c>
      <c r="BF210" s="63" t="str">
        <f t="shared" si="305"/>
        <v/>
      </c>
      <c r="BI210" s="59" t="s">
        <v>83</v>
      </c>
      <c r="BJ210" s="59"/>
      <c r="BK210" s="62" t="e">
        <f>IF(AR$166=1,AR195,NA())</f>
        <v>#N/A</v>
      </c>
      <c r="BL210" s="62" t="e">
        <f>IF(AS$166=1,AS195,NA())</f>
        <v>#N/A</v>
      </c>
      <c r="BM210" s="62" t="e">
        <f t="shared" ref="BM210:BY210" si="306">IF(AT$166=1,AT195,NA())</f>
        <v>#N/A</v>
      </c>
      <c r="BN210" s="62" t="e">
        <f t="shared" si="306"/>
        <v>#N/A</v>
      </c>
      <c r="BO210" s="62" t="e">
        <f t="shared" si="306"/>
        <v>#N/A</v>
      </c>
      <c r="BP210" s="62" t="e">
        <f t="shared" si="306"/>
        <v>#N/A</v>
      </c>
      <c r="BQ210" s="62" t="e">
        <f t="shared" si="306"/>
        <v>#N/A</v>
      </c>
      <c r="BR210" s="62" t="e">
        <f t="shared" si="306"/>
        <v>#N/A</v>
      </c>
      <c r="BS210" s="62" t="e">
        <f t="shared" si="306"/>
        <v>#N/A</v>
      </c>
      <c r="BT210" s="62" t="e">
        <f t="shared" si="306"/>
        <v>#N/A</v>
      </c>
      <c r="BU210" s="62" t="e">
        <f t="shared" si="306"/>
        <v>#N/A</v>
      </c>
      <c r="BV210" s="62" t="e">
        <f t="shared" si="306"/>
        <v>#N/A</v>
      </c>
      <c r="BW210" s="62" t="e">
        <f t="shared" si="306"/>
        <v>#N/A</v>
      </c>
      <c r="BX210" s="62" t="e">
        <f t="shared" si="306"/>
        <v>#N/A</v>
      </c>
      <c r="BY210" s="62" t="e">
        <f t="shared" si="306"/>
        <v>#N/A</v>
      </c>
    </row>
    <row r="211" spans="15:77" x14ac:dyDescent="0.5">
      <c r="O211" s="17"/>
      <c r="AF211" s="62">
        <v>0.52</v>
      </c>
      <c r="AG211" s="62" t="e">
        <f t="shared" si="252"/>
        <v>#DIV/0!</v>
      </c>
      <c r="AH211" s="62" t="e">
        <f t="shared" si="253"/>
        <v>#DIV/0!</v>
      </c>
      <c r="AI211" s="62" t="e">
        <f t="shared" si="268"/>
        <v>#DIV/0!</v>
      </c>
      <c r="AJ211" s="62" t="e">
        <f t="shared" si="269"/>
        <v>#DIV/0!</v>
      </c>
      <c r="AK211" s="62" t="e">
        <f t="shared" si="284"/>
        <v>#DIV/0!</v>
      </c>
      <c r="AL211" s="59" t="e">
        <f t="shared" si="263"/>
        <v>#DIV/0!</v>
      </c>
      <c r="AM211" s="101" t="e">
        <f t="shared" si="258"/>
        <v>#DIV/0!</v>
      </c>
      <c r="AP211" s="59" t="s">
        <v>84</v>
      </c>
      <c r="AQ211" s="59"/>
      <c r="AR211" s="63" t="str">
        <f>IF(AR209="","",(AR209-AR210)^2)</f>
        <v/>
      </c>
      <c r="AS211" s="63" t="str">
        <f>IF(AS209="","",(AS209-AS210)^2)</f>
        <v/>
      </c>
      <c r="AT211" s="63" t="str">
        <f t="shared" ref="AT211:BF211" si="307">IF(AT209="","",(AT209-AT210)^2)</f>
        <v/>
      </c>
      <c r="AU211" s="63" t="str">
        <f t="shared" si="307"/>
        <v/>
      </c>
      <c r="AV211" s="63" t="str">
        <f t="shared" si="307"/>
        <v/>
      </c>
      <c r="AW211" s="63" t="str">
        <f t="shared" si="307"/>
        <v/>
      </c>
      <c r="AX211" s="63" t="str">
        <f t="shared" si="307"/>
        <v/>
      </c>
      <c r="AY211" s="63" t="str">
        <f t="shared" si="307"/>
        <v/>
      </c>
      <c r="AZ211" s="63" t="str">
        <f t="shared" si="307"/>
        <v/>
      </c>
      <c r="BA211" s="63" t="str">
        <f t="shared" si="307"/>
        <v/>
      </c>
      <c r="BB211" s="63" t="str">
        <f t="shared" si="307"/>
        <v/>
      </c>
      <c r="BC211" s="63" t="str">
        <f t="shared" si="307"/>
        <v/>
      </c>
      <c r="BD211" s="63" t="str">
        <f t="shared" si="307"/>
        <v/>
      </c>
      <c r="BE211" s="63" t="str">
        <f t="shared" si="307"/>
        <v/>
      </c>
      <c r="BF211" s="63" t="str">
        <f t="shared" si="307"/>
        <v/>
      </c>
      <c r="BI211" s="59" t="s">
        <v>84</v>
      </c>
      <c r="BJ211" s="59"/>
      <c r="BK211" s="62" t="e">
        <f>IF(AR209="",NA(),(AR209-AR210)^2)</f>
        <v>#N/A</v>
      </c>
      <c r="BL211" s="62" t="e">
        <f t="shared" ref="BL211:BY211" si="308">IF(AS209="",NA(),(AS209-AS210)^2)</f>
        <v>#N/A</v>
      </c>
      <c r="BM211" s="62" t="e">
        <f t="shared" si="308"/>
        <v>#N/A</v>
      </c>
      <c r="BN211" s="62" t="e">
        <f t="shared" si="308"/>
        <v>#N/A</v>
      </c>
      <c r="BO211" s="62" t="e">
        <f t="shared" si="308"/>
        <v>#N/A</v>
      </c>
      <c r="BP211" s="62" t="e">
        <f t="shared" si="308"/>
        <v>#N/A</v>
      </c>
      <c r="BQ211" s="62" t="e">
        <f t="shared" si="308"/>
        <v>#N/A</v>
      </c>
      <c r="BR211" s="62" t="e">
        <f t="shared" si="308"/>
        <v>#N/A</v>
      </c>
      <c r="BS211" s="62" t="e">
        <f t="shared" si="308"/>
        <v>#N/A</v>
      </c>
      <c r="BT211" s="62" t="e">
        <f t="shared" si="308"/>
        <v>#N/A</v>
      </c>
      <c r="BU211" s="62" t="e">
        <f t="shared" si="308"/>
        <v>#N/A</v>
      </c>
      <c r="BV211" s="62" t="e">
        <f t="shared" si="308"/>
        <v>#N/A</v>
      </c>
      <c r="BW211" s="62" t="e">
        <f t="shared" si="308"/>
        <v>#N/A</v>
      </c>
      <c r="BX211" s="62" t="e">
        <f t="shared" si="308"/>
        <v>#N/A</v>
      </c>
      <c r="BY211" s="62" t="e">
        <f t="shared" si="308"/>
        <v>#N/A</v>
      </c>
    </row>
    <row r="212" spans="15:77" x14ac:dyDescent="0.5">
      <c r="O212" s="17"/>
      <c r="AF212" s="62">
        <v>0.51</v>
      </c>
      <c r="AG212" s="62" t="e">
        <f t="shared" si="252"/>
        <v>#DIV/0!</v>
      </c>
      <c r="AH212" s="62" t="e">
        <f t="shared" si="253"/>
        <v>#DIV/0!</v>
      </c>
      <c r="AI212" s="62" t="e">
        <f t="shared" si="268"/>
        <v>#DIV/0!</v>
      </c>
      <c r="AJ212" s="62" t="e">
        <f t="shared" si="269"/>
        <v>#DIV/0!</v>
      </c>
      <c r="AK212" s="62" t="e">
        <f t="shared" si="284"/>
        <v>#DIV/0!</v>
      </c>
      <c r="AL212" s="59" t="e">
        <f t="shared" si="263"/>
        <v>#DIV/0!</v>
      </c>
      <c r="AM212" s="101" t="e">
        <f t="shared" si="258"/>
        <v>#DIV/0!</v>
      </c>
    </row>
    <row r="213" spans="15:77" x14ac:dyDescent="0.5">
      <c r="O213" s="17"/>
      <c r="AF213" s="62">
        <v>0.5</v>
      </c>
      <c r="AG213" s="62" t="e">
        <f t="shared" si="252"/>
        <v>#DIV/0!</v>
      </c>
      <c r="AH213" s="62" t="e">
        <f t="shared" si="253"/>
        <v>#DIV/0!</v>
      </c>
      <c r="AI213" s="62" t="e">
        <f t="shared" si="268"/>
        <v>#DIV/0!</v>
      </c>
      <c r="AJ213" s="62" t="e">
        <f t="shared" si="269"/>
        <v>#DIV/0!</v>
      </c>
      <c r="AK213" s="62" t="e">
        <f t="shared" si="284"/>
        <v>#DIV/0!</v>
      </c>
      <c r="AL213" s="59" t="e">
        <f t="shared" si="263"/>
        <v>#DIV/0!</v>
      </c>
      <c r="AM213" s="101" t="e">
        <f t="shared" si="258"/>
        <v>#DIV/0!</v>
      </c>
      <c r="AP213" s="59" t="s">
        <v>165</v>
      </c>
      <c r="AQ213" s="59"/>
      <c r="AR213" s="63" t="str">
        <f>IF(AR$166=1,AR169/$AT$178,"")</f>
        <v/>
      </c>
      <c r="AS213" s="63" t="str">
        <f>IF(AS$166=1,AS169/$AT$178,"")</f>
        <v/>
      </c>
      <c r="AT213" s="63" t="str">
        <f t="shared" ref="AT213:BF213" si="309">IF(AT$166=1,AT169/$AT$178,"")</f>
        <v/>
      </c>
      <c r="AU213" s="63" t="str">
        <f t="shared" si="309"/>
        <v/>
      </c>
      <c r="AV213" s="63" t="str">
        <f t="shared" si="309"/>
        <v/>
      </c>
      <c r="AW213" s="63" t="str">
        <f t="shared" si="309"/>
        <v/>
      </c>
      <c r="AX213" s="63" t="str">
        <f t="shared" si="309"/>
        <v/>
      </c>
      <c r="AY213" s="63" t="str">
        <f t="shared" si="309"/>
        <v/>
      </c>
      <c r="AZ213" s="63" t="str">
        <f t="shared" si="309"/>
        <v/>
      </c>
      <c r="BA213" s="63" t="str">
        <f t="shared" si="309"/>
        <v/>
      </c>
      <c r="BB213" s="63" t="str">
        <f t="shared" si="309"/>
        <v/>
      </c>
      <c r="BC213" s="63" t="str">
        <f t="shared" si="309"/>
        <v/>
      </c>
      <c r="BD213" s="63" t="str">
        <f t="shared" si="309"/>
        <v/>
      </c>
      <c r="BE213" s="63" t="str">
        <f t="shared" si="309"/>
        <v/>
      </c>
      <c r="BF213" s="63" t="str">
        <f t="shared" si="309"/>
        <v/>
      </c>
    </row>
    <row r="214" spans="15:77" x14ac:dyDescent="0.5">
      <c r="AF214" s="62">
        <v>0.49</v>
      </c>
      <c r="AG214" s="62" t="e">
        <f t="shared" si="252"/>
        <v>#DIV/0!</v>
      </c>
      <c r="AH214" s="62" t="e">
        <f t="shared" si="253"/>
        <v>#DIV/0!</v>
      </c>
      <c r="AI214" s="62" t="e">
        <f t="shared" si="268"/>
        <v>#DIV/0!</v>
      </c>
      <c r="AJ214" s="62" t="e">
        <f t="shared" si="269"/>
        <v>#DIV/0!</v>
      </c>
      <c r="AK214" s="62" t="e">
        <f t="shared" si="284"/>
        <v>#DIV/0!</v>
      </c>
      <c r="AL214" s="59" t="e">
        <f t="shared" si="263"/>
        <v>#DIV/0!</v>
      </c>
      <c r="AM214" s="101" t="e">
        <f t="shared" si="258"/>
        <v>#DIV/0!</v>
      </c>
      <c r="AP214" s="59" t="s">
        <v>164</v>
      </c>
      <c r="AQ214" s="59"/>
      <c r="AR214" s="63" t="str">
        <f>IF(AR$166=1,((($AT$175-AR110)*$AT$177)/(AR110+$AT$176)),"")</f>
        <v/>
      </c>
      <c r="AS214" s="63" t="str">
        <f>IF(AS$166=1,((($AT$175-AS110)*$AT$177)/(AS110+$AT$176)),"")</f>
        <v/>
      </c>
      <c r="AT214" s="63" t="str">
        <f t="shared" ref="AT214:BF214" si="310">IF(AT$166=1,((($AT$175-AT110)*$AT$177)/(AT110+$AT$176)),"")</f>
        <v/>
      </c>
      <c r="AU214" s="63" t="str">
        <f t="shared" si="310"/>
        <v/>
      </c>
      <c r="AV214" s="63" t="str">
        <f t="shared" si="310"/>
        <v/>
      </c>
      <c r="AW214" s="63" t="str">
        <f t="shared" si="310"/>
        <v/>
      </c>
      <c r="AX214" s="63" t="str">
        <f t="shared" si="310"/>
        <v/>
      </c>
      <c r="AY214" s="63" t="str">
        <f t="shared" si="310"/>
        <v/>
      </c>
      <c r="AZ214" s="63" t="str">
        <f t="shared" si="310"/>
        <v/>
      </c>
      <c r="BA214" s="63" t="str">
        <f t="shared" si="310"/>
        <v/>
      </c>
      <c r="BB214" s="63" t="str">
        <f t="shared" si="310"/>
        <v/>
      </c>
      <c r="BC214" s="63" t="str">
        <f t="shared" si="310"/>
        <v/>
      </c>
      <c r="BD214" s="63" t="str">
        <f t="shared" si="310"/>
        <v/>
      </c>
      <c r="BE214" s="63" t="str">
        <f t="shared" si="310"/>
        <v/>
      </c>
      <c r="BF214" s="63" t="str">
        <f t="shared" si="310"/>
        <v/>
      </c>
    </row>
    <row r="215" spans="15:77" x14ac:dyDescent="0.5">
      <c r="AF215" s="62">
        <v>0.48</v>
      </c>
      <c r="AG215" s="62" t="e">
        <f t="shared" si="252"/>
        <v>#DIV/0!</v>
      </c>
      <c r="AH215" s="62" t="e">
        <f t="shared" si="253"/>
        <v>#DIV/0!</v>
      </c>
      <c r="AI215" s="62" t="e">
        <f t="shared" si="268"/>
        <v>#DIV/0!</v>
      </c>
      <c r="AJ215" s="62" t="e">
        <f t="shared" si="269"/>
        <v>#DIV/0!</v>
      </c>
      <c r="AK215" s="62" t="e">
        <f t="shared" si="284"/>
        <v>#DIV/0!</v>
      </c>
      <c r="AL215" s="59" t="e">
        <f t="shared" si="263"/>
        <v>#DIV/0!</v>
      </c>
      <c r="AM215" s="101" t="e">
        <f t="shared" si="258"/>
        <v>#DIV/0!</v>
      </c>
      <c r="AP215" s="59" t="s">
        <v>84</v>
      </c>
      <c r="AQ215" s="59"/>
      <c r="AR215" s="63" t="str">
        <f>IF(AR209="","",IF(AR213&lt;$AV$185,(AR209-AR214)^2,""))</f>
        <v/>
      </c>
      <c r="AS215" s="63" t="str">
        <f t="shared" ref="AS215:BF215" si="311">IF(AS209="","",IF(AS213&lt;$AV$185,(AS209-AS214)^2,""))</f>
        <v/>
      </c>
      <c r="AT215" s="63" t="str">
        <f t="shared" si="311"/>
        <v/>
      </c>
      <c r="AU215" s="63" t="str">
        <f t="shared" si="311"/>
        <v/>
      </c>
      <c r="AV215" s="63" t="str">
        <f t="shared" si="311"/>
        <v/>
      </c>
      <c r="AW215" s="63" t="str">
        <f t="shared" si="311"/>
        <v/>
      </c>
      <c r="AX215" s="63" t="str">
        <f t="shared" si="311"/>
        <v/>
      </c>
      <c r="AY215" s="63" t="str">
        <f t="shared" si="311"/>
        <v/>
      </c>
      <c r="AZ215" s="63" t="str">
        <f t="shared" si="311"/>
        <v/>
      </c>
      <c r="BA215" s="63" t="str">
        <f t="shared" si="311"/>
        <v/>
      </c>
      <c r="BB215" s="63" t="str">
        <f t="shared" si="311"/>
        <v/>
      </c>
      <c r="BC215" s="63" t="str">
        <f t="shared" si="311"/>
        <v/>
      </c>
      <c r="BD215" s="63" t="str">
        <f t="shared" si="311"/>
        <v/>
      </c>
      <c r="BE215" s="63" t="str">
        <f t="shared" si="311"/>
        <v/>
      </c>
      <c r="BF215" s="63" t="str">
        <f t="shared" si="311"/>
        <v/>
      </c>
    </row>
    <row r="216" spans="15:77" x14ac:dyDescent="0.5">
      <c r="AF216" s="62">
        <v>0.47</v>
      </c>
      <c r="AG216" s="62" t="e">
        <f t="shared" si="252"/>
        <v>#DIV/0!</v>
      </c>
      <c r="AH216" s="62" t="e">
        <f t="shared" si="253"/>
        <v>#DIV/0!</v>
      </c>
      <c r="AI216" s="62" t="e">
        <f t="shared" si="268"/>
        <v>#DIV/0!</v>
      </c>
      <c r="AJ216" s="62" t="e">
        <f t="shared" si="269"/>
        <v>#DIV/0!</v>
      </c>
      <c r="AK216" s="62" t="e">
        <f t="shared" si="284"/>
        <v>#DIV/0!</v>
      </c>
      <c r="AL216" s="59" t="e">
        <f t="shared" si="263"/>
        <v>#DIV/0!</v>
      </c>
      <c r="AM216" s="101" t="e">
        <f t="shared" si="258"/>
        <v>#DIV/0!</v>
      </c>
    </row>
    <row r="217" spans="15:77" x14ac:dyDescent="0.5">
      <c r="AF217" s="62">
        <v>0.46</v>
      </c>
      <c r="AG217" s="62" t="e">
        <f t="shared" si="252"/>
        <v>#DIV/0!</v>
      </c>
      <c r="AH217" s="62" t="e">
        <f t="shared" si="253"/>
        <v>#DIV/0!</v>
      </c>
      <c r="AI217" s="62" t="e">
        <f t="shared" si="268"/>
        <v>#DIV/0!</v>
      </c>
      <c r="AJ217" s="62" t="e">
        <f t="shared" si="269"/>
        <v>#DIV/0!</v>
      </c>
      <c r="AK217" s="62" t="e">
        <f t="shared" si="284"/>
        <v>#DIV/0!</v>
      </c>
      <c r="AL217" s="59" t="e">
        <f t="shared" si="263"/>
        <v>#DIV/0!</v>
      </c>
      <c r="AM217" s="101" t="e">
        <f t="shared" si="258"/>
        <v>#DIV/0!</v>
      </c>
      <c r="AP217" s="59" t="s">
        <v>173</v>
      </c>
      <c r="AQ217" s="62"/>
      <c r="AR217" s="63" t="str">
        <f>IF(AR$166=1,AR11,"")</f>
        <v/>
      </c>
      <c r="AS217" s="63" t="str">
        <f t="shared" ref="AS217:BF217" si="312">IF(AS$166=1,AS11,"")</f>
        <v/>
      </c>
      <c r="AT217" s="63" t="str">
        <f t="shared" si="312"/>
        <v/>
      </c>
      <c r="AU217" s="63" t="str">
        <f t="shared" si="312"/>
        <v/>
      </c>
      <c r="AV217" s="63" t="str">
        <f t="shared" si="312"/>
        <v/>
      </c>
      <c r="AW217" s="63" t="str">
        <f t="shared" si="312"/>
        <v/>
      </c>
      <c r="AX217" s="63" t="str">
        <f t="shared" si="312"/>
        <v/>
      </c>
      <c r="AY217" s="63" t="str">
        <f t="shared" si="312"/>
        <v/>
      </c>
      <c r="AZ217" s="63" t="str">
        <f t="shared" si="312"/>
        <v/>
      </c>
      <c r="BA217" s="63" t="str">
        <f t="shared" si="312"/>
        <v/>
      </c>
      <c r="BB217" s="63" t="str">
        <f t="shared" si="312"/>
        <v/>
      </c>
      <c r="BC217" s="63" t="str">
        <f t="shared" si="312"/>
        <v/>
      </c>
      <c r="BD217" s="63" t="str">
        <f t="shared" si="312"/>
        <v/>
      </c>
      <c r="BE217" s="63" t="str">
        <f t="shared" si="312"/>
        <v/>
      </c>
      <c r="BF217" s="63" t="str">
        <f t="shared" si="312"/>
        <v/>
      </c>
    </row>
    <row r="218" spans="15:77" x14ac:dyDescent="0.5">
      <c r="AE218" s="104"/>
      <c r="AF218" s="62">
        <v>0.45</v>
      </c>
      <c r="AG218" s="62" t="e">
        <f t="shared" si="252"/>
        <v>#DIV/0!</v>
      </c>
      <c r="AH218" s="62" t="e">
        <f t="shared" si="253"/>
        <v>#DIV/0!</v>
      </c>
      <c r="AI218" s="62" t="e">
        <f t="shared" si="268"/>
        <v>#DIV/0!</v>
      </c>
      <c r="AJ218" s="62" t="e">
        <f t="shared" si="269"/>
        <v>#DIV/0!</v>
      </c>
      <c r="AK218" s="62" t="e">
        <f t="shared" si="284"/>
        <v>#DIV/0!</v>
      </c>
      <c r="AL218" s="59" t="e">
        <f t="shared" si="263"/>
        <v>#DIV/0!</v>
      </c>
      <c r="AM218" s="101" t="e">
        <f t="shared" si="258"/>
        <v>#DIV/0!</v>
      </c>
      <c r="AP218" s="59" t="s">
        <v>172</v>
      </c>
      <c r="AQ218" s="62"/>
      <c r="AR218" s="63" t="str">
        <f>IF(AR$166=1,AR199,"")</f>
        <v/>
      </c>
      <c r="AS218" s="63" t="str">
        <f t="shared" ref="AS218:BF218" si="313">IF(AS$166=1,AS199,"")</f>
        <v/>
      </c>
      <c r="AT218" s="63" t="str">
        <f t="shared" si="313"/>
        <v/>
      </c>
      <c r="AU218" s="63" t="str">
        <f t="shared" si="313"/>
        <v/>
      </c>
      <c r="AV218" s="63" t="str">
        <f t="shared" si="313"/>
        <v/>
      </c>
      <c r="AW218" s="63" t="str">
        <f t="shared" si="313"/>
        <v/>
      </c>
      <c r="AX218" s="63" t="str">
        <f t="shared" si="313"/>
        <v/>
      </c>
      <c r="AY218" s="63" t="str">
        <f t="shared" si="313"/>
        <v/>
      </c>
      <c r="AZ218" s="63" t="str">
        <f t="shared" si="313"/>
        <v/>
      </c>
      <c r="BA218" s="63" t="str">
        <f t="shared" si="313"/>
        <v/>
      </c>
      <c r="BB218" s="63" t="str">
        <f t="shared" si="313"/>
        <v/>
      </c>
      <c r="BC218" s="63" t="str">
        <f t="shared" si="313"/>
        <v/>
      </c>
      <c r="BD218" s="63" t="str">
        <f t="shared" si="313"/>
        <v/>
      </c>
      <c r="BE218" s="63" t="str">
        <f t="shared" si="313"/>
        <v/>
      </c>
      <c r="BF218" s="63" t="str">
        <f t="shared" si="313"/>
        <v/>
      </c>
    </row>
    <row r="219" spans="15:77" x14ac:dyDescent="0.5">
      <c r="AE219" s="104"/>
      <c r="AF219" s="62">
        <v>0.44</v>
      </c>
      <c r="AG219" s="62" t="e">
        <f t="shared" si="252"/>
        <v>#DIV/0!</v>
      </c>
      <c r="AH219" s="62" t="e">
        <f t="shared" si="253"/>
        <v>#DIV/0!</v>
      </c>
      <c r="AI219" s="62" t="e">
        <f t="shared" si="268"/>
        <v>#DIV/0!</v>
      </c>
      <c r="AJ219" s="62" t="e">
        <f t="shared" si="269"/>
        <v>#DIV/0!</v>
      </c>
      <c r="AK219" s="62" t="e">
        <f t="shared" si="284"/>
        <v>#DIV/0!</v>
      </c>
      <c r="AL219" s="59" t="e">
        <f t="shared" si="263"/>
        <v>#DIV/0!</v>
      </c>
      <c r="AM219" s="101" t="e">
        <f t="shared" si="258"/>
        <v>#DIV/0!</v>
      </c>
      <c r="AP219" s="59" t="s">
        <v>84</v>
      </c>
      <c r="AQ219" s="62"/>
      <c r="AR219" s="62" t="str">
        <f>IF(AR217="","",(AR217-AR218)^2)</f>
        <v/>
      </c>
      <c r="AS219" s="62" t="str">
        <f t="shared" ref="AS219:BF219" si="314">IF(AS217="","",(AS217-AS218)^2)</f>
        <v/>
      </c>
      <c r="AT219" s="62" t="str">
        <f t="shared" si="314"/>
        <v/>
      </c>
      <c r="AU219" s="62" t="str">
        <f t="shared" si="314"/>
        <v/>
      </c>
      <c r="AV219" s="62" t="str">
        <f t="shared" si="314"/>
        <v/>
      </c>
      <c r="AW219" s="62" t="str">
        <f t="shared" si="314"/>
        <v/>
      </c>
      <c r="AX219" s="62" t="str">
        <f t="shared" si="314"/>
        <v/>
      </c>
      <c r="AY219" s="62" t="str">
        <f t="shared" si="314"/>
        <v/>
      </c>
      <c r="AZ219" s="62" t="str">
        <f t="shared" si="314"/>
        <v/>
      </c>
      <c r="BA219" s="62" t="str">
        <f t="shared" si="314"/>
        <v/>
      </c>
      <c r="BB219" s="62" t="str">
        <f t="shared" si="314"/>
        <v/>
      </c>
      <c r="BC219" s="62" t="str">
        <f t="shared" si="314"/>
        <v/>
      </c>
      <c r="BD219" s="62" t="str">
        <f t="shared" si="314"/>
        <v/>
      </c>
      <c r="BE219" s="62" t="str">
        <f t="shared" si="314"/>
        <v/>
      </c>
      <c r="BF219" s="62" t="str">
        <f t="shared" si="314"/>
        <v/>
      </c>
    </row>
    <row r="220" spans="15:77" x14ac:dyDescent="0.5">
      <c r="AE220" s="104"/>
      <c r="AF220" s="62">
        <v>0.42999999999999899</v>
      </c>
      <c r="AG220" s="62" t="e">
        <f t="shared" si="252"/>
        <v>#DIV/0!</v>
      </c>
      <c r="AH220" s="62" t="e">
        <f t="shared" si="253"/>
        <v>#DIV/0!</v>
      </c>
      <c r="AI220" s="62" t="e">
        <f t="shared" si="268"/>
        <v>#DIV/0!</v>
      </c>
      <c r="AJ220" s="62" t="e">
        <f t="shared" si="269"/>
        <v>#DIV/0!</v>
      </c>
      <c r="AK220" s="62" t="e">
        <f t="shared" si="284"/>
        <v>#DIV/0!</v>
      </c>
      <c r="AL220" s="59" t="e">
        <f t="shared" si="263"/>
        <v>#DIV/0!</v>
      </c>
      <c r="AM220" s="101" t="e">
        <f t="shared" si="258"/>
        <v>#DIV/0!</v>
      </c>
    </row>
    <row r="221" spans="15:77" x14ac:dyDescent="0.5">
      <c r="AE221" s="104"/>
      <c r="AF221" s="62">
        <v>0.41999999999999899</v>
      </c>
      <c r="AG221" s="62" t="e">
        <f t="shared" si="252"/>
        <v>#DIV/0!</v>
      </c>
      <c r="AH221" s="62" t="e">
        <f t="shared" si="253"/>
        <v>#DIV/0!</v>
      </c>
      <c r="AI221" s="62" t="e">
        <f t="shared" si="268"/>
        <v>#DIV/0!</v>
      </c>
      <c r="AJ221" s="62" t="e">
        <f t="shared" si="269"/>
        <v>#DIV/0!</v>
      </c>
      <c r="AK221" s="62" t="e">
        <f t="shared" si="284"/>
        <v>#DIV/0!</v>
      </c>
      <c r="AL221" s="59" t="e">
        <f t="shared" si="263"/>
        <v>#DIV/0!</v>
      </c>
      <c r="AM221" s="101" t="e">
        <f t="shared" si="258"/>
        <v>#DIV/0!</v>
      </c>
    </row>
    <row r="222" spans="15:77" x14ac:dyDescent="0.5">
      <c r="AE222" s="104"/>
      <c r="AF222" s="62">
        <v>0.40999999999999898</v>
      </c>
      <c r="AG222" s="62" t="e">
        <f t="shared" si="252"/>
        <v>#DIV/0!</v>
      </c>
      <c r="AH222" s="62" t="e">
        <f t="shared" si="253"/>
        <v>#DIV/0!</v>
      </c>
      <c r="AI222" s="62" t="e">
        <f t="shared" si="268"/>
        <v>#DIV/0!</v>
      </c>
      <c r="AJ222" s="62" t="e">
        <f t="shared" si="269"/>
        <v>#DIV/0!</v>
      </c>
      <c r="AK222" s="62" t="e">
        <f t="shared" si="284"/>
        <v>#DIV/0!</v>
      </c>
      <c r="AL222" s="59" t="e">
        <f t="shared" si="263"/>
        <v>#DIV/0!</v>
      </c>
      <c r="AM222" s="101" t="e">
        <f t="shared" si="258"/>
        <v>#DIV/0!</v>
      </c>
    </row>
    <row r="223" spans="15:77" x14ac:dyDescent="0.5">
      <c r="AE223" s="104"/>
      <c r="AF223" s="62">
        <v>0.39999999999999902</v>
      </c>
      <c r="AG223" s="62" t="e">
        <f t="shared" si="252"/>
        <v>#DIV/0!</v>
      </c>
      <c r="AH223" s="62" t="e">
        <f t="shared" si="253"/>
        <v>#DIV/0!</v>
      </c>
      <c r="AI223" s="62" t="e">
        <f t="shared" si="268"/>
        <v>#DIV/0!</v>
      </c>
      <c r="AJ223" s="62" t="e">
        <f t="shared" si="269"/>
        <v>#DIV/0!</v>
      </c>
      <c r="AK223" s="62" t="e">
        <f t="shared" si="284"/>
        <v>#DIV/0!</v>
      </c>
      <c r="AL223" s="59" t="e">
        <f t="shared" si="263"/>
        <v>#DIV/0!</v>
      </c>
      <c r="AM223" s="101" t="e">
        <f t="shared" si="258"/>
        <v>#DIV/0!</v>
      </c>
    </row>
    <row r="224" spans="15:77" x14ac:dyDescent="0.5">
      <c r="AE224" s="104"/>
      <c r="AF224" s="62">
        <v>0.38999999999999901</v>
      </c>
      <c r="AG224" s="62" t="e">
        <f t="shared" si="252"/>
        <v>#DIV/0!</v>
      </c>
      <c r="AH224" s="62" t="e">
        <f t="shared" si="253"/>
        <v>#DIV/0!</v>
      </c>
      <c r="AI224" s="62" t="e">
        <f t="shared" si="268"/>
        <v>#DIV/0!</v>
      </c>
      <c r="AJ224" s="62" t="e">
        <f t="shared" si="269"/>
        <v>#DIV/0!</v>
      </c>
      <c r="AK224" s="62" t="e">
        <f t="shared" si="284"/>
        <v>#DIV/0!</v>
      </c>
      <c r="AL224" s="59" t="e">
        <f t="shared" si="263"/>
        <v>#DIV/0!</v>
      </c>
      <c r="AM224" s="101" t="e">
        <f t="shared" si="258"/>
        <v>#DIV/0!</v>
      </c>
    </row>
    <row r="225" spans="31:39" x14ac:dyDescent="0.5">
      <c r="AE225" s="104"/>
      <c r="AF225" s="62">
        <v>0.37999999999999901</v>
      </c>
      <c r="AG225" s="62" t="e">
        <f t="shared" si="252"/>
        <v>#DIV/0!</v>
      </c>
      <c r="AH225" s="62" t="e">
        <f t="shared" si="253"/>
        <v>#DIV/0!</v>
      </c>
      <c r="AI225" s="62" t="e">
        <f t="shared" si="268"/>
        <v>#DIV/0!</v>
      </c>
      <c r="AJ225" s="62" t="e">
        <f t="shared" si="269"/>
        <v>#DIV/0!</v>
      </c>
      <c r="AK225" s="62" t="e">
        <f t="shared" si="284"/>
        <v>#DIV/0!</v>
      </c>
      <c r="AL225" s="59" t="e">
        <f t="shared" si="263"/>
        <v>#DIV/0!</v>
      </c>
      <c r="AM225" s="101" t="e">
        <f t="shared" si="258"/>
        <v>#DIV/0!</v>
      </c>
    </row>
    <row r="226" spans="31:39" x14ac:dyDescent="0.5">
      <c r="AE226" s="104"/>
      <c r="AF226" s="62">
        <v>0.369999999999999</v>
      </c>
      <c r="AG226" s="62" t="e">
        <f t="shared" si="252"/>
        <v>#DIV/0!</v>
      </c>
      <c r="AH226" s="62" t="e">
        <f t="shared" si="253"/>
        <v>#DIV/0!</v>
      </c>
      <c r="AI226" s="62" t="e">
        <f t="shared" si="268"/>
        <v>#DIV/0!</v>
      </c>
      <c r="AJ226" s="62" t="e">
        <f t="shared" si="269"/>
        <v>#DIV/0!</v>
      </c>
      <c r="AK226" s="62" t="e">
        <f t="shared" si="284"/>
        <v>#DIV/0!</v>
      </c>
      <c r="AL226" s="59" t="e">
        <f t="shared" si="263"/>
        <v>#DIV/0!</v>
      </c>
      <c r="AM226" s="101" t="e">
        <f t="shared" si="258"/>
        <v>#DIV/0!</v>
      </c>
    </row>
    <row r="227" spans="31:39" x14ac:dyDescent="0.5">
      <c r="AE227" s="104"/>
      <c r="AF227" s="62">
        <v>0.35999999999999899</v>
      </c>
      <c r="AG227" s="62" t="e">
        <f t="shared" si="252"/>
        <v>#DIV/0!</v>
      </c>
      <c r="AH227" s="62" t="e">
        <f t="shared" si="253"/>
        <v>#DIV/0!</v>
      </c>
      <c r="AI227" s="62" t="e">
        <f t="shared" si="268"/>
        <v>#DIV/0!</v>
      </c>
      <c r="AJ227" s="62" t="e">
        <f t="shared" si="269"/>
        <v>#DIV/0!</v>
      </c>
      <c r="AK227" s="62" t="e">
        <f t="shared" ref="AK227:AK258" si="315">AI227*AJ227</f>
        <v>#DIV/0!</v>
      </c>
      <c r="AL227" s="59" t="e">
        <f t="shared" si="263"/>
        <v>#DIV/0!</v>
      </c>
      <c r="AM227" s="101" t="e">
        <f t="shared" si="258"/>
        <v>#DIV/0!</v>
      </c>
    </row>
    <row r="228" spans="31:39" x14ac:dyDescent="0.5">
      <c r="AE228" s="104"/>
      <c r="AF228" s="62">
        <v>0.34999999999999898</v>
      </c>
      <c r="AG228" s="62" t="e">
        <f t="shared" ref="AG228:AG263" si="316">AJ228/$AT$183</f>
        <v>#DIV/0!</v>
      </c>
      <c r="AH228" s="62" t="e">
        <f t="shared" ref="AH228:AH263" si="317">AK228/$AT$184</f>
        <v>#DIV/0!</v>
      </c>
      <c r="AI228" s="62" t="e">
        <f t="shared" si="268"/>
        <v>#DIV/0!</v>
      </c>
      <c r="AJ228" s="62" t="e">
        <f t="shared" si="269"/>
        <v>#DIV/0!</v>
      </c>
      <c r="AK228" s="62" t="e">
        <f t="shared" si="315"/>
        <v>#DIV/0!</v>
      </c>
      <c r="AL228" s="59" t="e">
        <f t="shared" si="263"/>
        <v>#DIV/0!</v>
      </c>
      <c r="AM228" s="101" t="e">
        <f t="shared" si="258"/>
        <v>#DIV/0!</v>
      </c>
    </row>
    <row r="229" spans="31:39" x14ac:dyDescent="0.5">
      <c r="AE229" s="104"/>
      <c r="AF229" s="62">
        <v>0.33999999999999903</v>
      </c>
      <c r="AG229" s="62" t="e">
        <f t="shared" si="316"/>
        <v>#DIV/0!</v>
      </c>
      <c r="AH229" s="62" t="e">
        <f t="shared" si="317"/>
        <v>#DIV/0!</v>
      </c>
      <c r="AI229" s="62" t="e">
        <f t="shared" si="268"/>
        <v>#DIV/0!</v>
      </c>
      <c r="AJ229" s="62" t="e">
        <f t="shared" si="269"/>
        <v>#DIV/0!</v>
      </c>
      <c r="AK229" s="62" t="e">
        <f t="shared" si="315"/>
        <v>#DIV/0!</v>
      </c>
      <c r="AL229" s="59" t="e">
        <f t="shared" si="263"/>
        <v>#DIV/0!</v>
      </c>
      <c r="AM229" s="101" t="e">
        <f t="shared" ref="AM229:AM262" si="318">ROUND(((AL228-AL229)/AL228),4)</f>
        <v>#DIV/0!</v>
      </c>
    </row>
    <row r="230" spans="31:39" x14ac:dyDescent="0.5">
      <c r="AE230" s="104"/>
      <c r="AF230" s="62">
        <v>0.32999999999999902</v>
      </c>
      <c r="AG230" s="62" t="e">
        <f t="shared" si="316"/>
        <v>#DIV/0!</v>
      </c>
      <c r="AH230" s="62" t="e">
        <f t="shared" si="317"/>
        <v>#DIV/0!</v>
      </c>
      <c r="AI230" s="62" t="e">
        <f t="shared" si="268"/>
        <v>#DIV/0!</v>
      </c>
      <c r="AJ230" s="62" t="e">
        <f t="shared" si="269"/>
        <v>#DIV/0!</v>
      </c>
      <c r="AK230" s="62" t="e">
        <f t="shared" si="315"/>
        <v>#DIV/0!</v>
      </c>
      <c r="AL230" s="59" t="e">
        <f t="shared" si="263"/>
        <v>#DIV/0!</v>
      </c>
      <c r="AM230" s="101" t="e">
        <f t="shared" si="318"/>
        <v>#DIV/0!</v>
      </c>
    </row>
    <row r="231" spans="31:39" x14ac:dyDescent="0.5">
      <c r="AE231" s="104"/>
      <c r="AF231" s="62">
        <v>0.31999999999999901</v>
      </c>
      <c r="AG231" s="62" t="e">
        <f t="shared" si="316"/>
        <v>#DIV/0!</v>
      </c>
      <c r="AH231" s="62" t="e">
        <f t="shared" si="317"/>
        <v>#DIV/0!</v>
      </c>
      <c r="AI231" s="62" t="e">
        <f t="shared" si="268"/>
        <v>#DIV/0!</v>
      </c>
      <c r="AJ231" s="62" t="e">
        <f t="shared" si="269"/>
        <v>#DIV/0!</v>
      </c>
      <c r="AK231" s="62" t="e">
        <f t="shared" si="315"/>
        <v>#DIV/0!</v>
      </c>
      <c r="AL231" s="59" t="e">
        <f t="shared" si="263"/>
        <v>#DIV/0!</v>
      </c>
      <c r="AM231" s="101" t="e">
        <f t="shared" si="318"/>
        <v>#DIV/0!</v>
      </c>
    </row>
    <row r="232" spans="31:39" x14ac:dyDescent="0.5">
      <c r="AE232" s="104"/>
      <c r="AF232" s="62">
        <v>0.309999999999999</v>
      </c>
      <c r="AG232" s="62" t="e">
        <f t="shared" si="316"/>
        <v>#DIV/0!</v>
      </c>
      <c r="AH232" s="62" t="e">
        <f t="shared" si="317"/>
        <v>#DIV/0!</v>
      </c>
      <c r="AI232" s="62" t="e">
        <f t="shared" si="268"/>
        <v>#DIV/0!</v>
      </c>
      <c r="AJ232" s="62" t="e">
        <f t="shared" si="269"/>
        <v>#DIV/0!</v>
      </c>
      <c r="AK232" s="62" t="e">
        <f t="shared" si="315"/>
        <v>#DIV/0!</v>
      </c>
      <c r="AL232" s="59" t="e">
        <f t="shared" si="263"/>
        <v>#DIV/0!</v>
      </c>
      <c r="AM232" s="101" t="e">
        <f t="shared" si="318"/>
        <v>#DIV/0!</v>
      </c>
    </row>
    <row r="233" spans="31:39" x14ac:dyDescent="0.5">
      <c r="AE233" s="104"/>
      <c r="AF233" s="62">
        <v>0.29999999999999899</v>
      </c>
      <c r="AG233" s="62" t="e">
        <f t="shared" si="316"/>
        <v>#DIV/0!</v>
      </c>
      <c r="AH233" s="62" t="e">
        <f t="shared" si="317"/>
        <v>#DIV/0!</v>
      </c>
      <c r="AI233" s="62" t="e">
        <f t="shared" si="268"/>
        <v>#DIV/0!</v>
      </c>
      <c r="AJ233" s="62" t="e">
        <f t="shared" si="269"/>
        <v>#DIV/0!</v>
      </c>
      <c r="AK233" s="62" t="e">
        <f t="shared" si="315"/>
        <v>#DIV/0!</v>
      </c>
      <c r="AL233" s="59" t="e">
        <f t="shared" ref="AL233:AL258" si="319">ROUND(SLOPE(AI229:AI237,AJ229:AJ237),0)</f>
        <v>#DIV/0!</v>
      </c>
      <c r="AM233" s="101" t="e">
        <f t="shared" si="318"/>
        <v>#DIV/0!</v>
      </c>
    </row>
    <row r="234" spans="31:39" x14ac:dyDescent="0.5">
      <c r="AE234" s="104"/>
      <c r="AF234" s="62">
        <v>0.28999999999999898</v>
      </c>
      <c r="AG234" s="62" t="e">
        <f t="shared" si="316"/>
        <v>#DIV/0!</v>
      </c>
      <c r="AH234" s="62" t="e">
        <f t="shared" si="317"/>
        <v>#DIV/0!</v>
      </c>
      <c r="AI234" s="62" t="e">
        <f t="shared" ref="AI234:AI263" si="320">$AT$178*AF234</f>
        <v>#DIV/0!</v>
      </c>
      <c r="AJ234" s="62" t="e">
        <f t="shared" ref="AJ234:AJ263" si="321">(1/(1+EXP($AT$181-AI234/$AT$178)^$AT$180))*((AI234-$AT$178)/$AT$179)+(1/(1+EXP(AI234/$AT$178-$AT$181)^$AT$180))*((($AT$175-AI234)*$AT$177)/(AI234+$AT$176))</f>
        <v>#DIV/0!</v>
      </c>
      <c r="AK234" s="62" t="e">
        <f t="shared" si="315"/>
        <v>#DIV/0!</v>
      </c>
      <c r="AL234" s="59" t="e">
        <f t="shared" si="319"/>
        <v>#DIV/0!</v>
      </c>
      <c r="AM234" s="101" t="e">
        <f t="shared" si="318"/>
        <v>#DIV/0!</v>
      </c>
    </row>
    <row r="235" spans="31:39" x14ac:dyDescent="0.5">
      <c r="AE235" s="104"/>
      <c r="AF235" s="62">
        <v>0.27999999999999903</v>
      </c>
      <c r="AG235" s="62" t="e">
        <f t="shared" si="316"/>
        <v>#DIV/0!</v>
      </c>
      <c r="AH235" s="62" t="e">
        <f t="shared" si="317"/>
        <v>#DIV/0!</v>
      </c>
      <c r="AI235" s="62" t="e">
        <f t="shared" si="320"/>
        <v>#DIV/0!</v>
      </c>
      <c r="AJ235" s="62" t="e">
        <f t="shared" si="321"/>
        <v>#DIV/0!</v>
      </c>
      <c r="AK235" s="62" t="e">
        <f t="shared" si="315"/>
        <v>#DIV/0!</v>
      </c>
      <c r="AL235" s="59" t="e">
        <f t="shared" si="319"/>
        <v>#DIV/0!</v>
      </c>
      <c r="AM235" s="101" t="e">
        <f t="shared" si="318"/>
        <v>#DIV/0!</v>
      </c>
    </row>
    <row r="236" spans="31:39" x14ac:dyDescent="0.5">
      <c r="AE236" s="104"/>
      <c r="AF236" s="62">
        <v>0.26999999999999902</v>
      </c>
      <c r="AG236" s="62" t="e">
        <f t="shared" si="316"/>
        <v>#DIV/0!</v>
      </c>
      <c r="AH236" s="62" t="e">
        <f t="shared" si="317"/>
        <v>#DIV/0!</v>
      </c>
      <c r="AI236" s="62" t="e">
        <f t="shared" si="320"/>
        <v>#DIV/0!</v>
      </c>
      <c r="AJ236" s="62" t="e">
        <f t="shared" si="321"/>
        <v>#DIV/0!</v>
      </c>
      <c r="AK236" s="62" t="e">
        <f t="shared" si="315"/>
        <v>#DIV/0!</v>
      </c>
      <c r="AL236" s="59" t="e">
        <f t="shared" si="319"/>
        <v>#DIV/0!</v>
      </c>
      <c r="AM236" s="101" t="e">
        <f t="shared" si="318"/>
        <v>#DIV/0!</v>
      </c>
    </row>
    <row r="237" spans="31:39" x14ac:dyDescent="0.5">
      <c r="AE237" s="104"/>
      <c r="AF237" s="62">
        <v>0.25999999999999901</v>
      </c>
      <c r="AG237" s="62" t="e">
        <f t="shared" si="316"/>
        <v>#DIV/0!</v>
      </c>
      <c r="AH237" s="62" t="e">
        <f t="shared" si="317"/>
        <v>#DIV/0!</v>
      </c>
      <c r="AI237" s="62" t="e">
        <f t="shared" si="320"/>
        <v>#DIV/0!</v>
      </c>
      <c r="AJ237" s="62" t="e">
        <f t="shared" si="321"/>
        <v>#DIV/0!</v>
      </c>
      <c r="AK237" s="62" t="e">
        <f t="shared" si="315"/>
        <v>#DIV/0!</v>
      </c>
      <c r="AL237" s="59" t="e">
        <f t="shared" si="319"/>
        <v>#DIV/0!</v>
      </c>
      <c r="AM237" s="101" t="e">
        <f t="shared" si="318"/>
        <v>#DIV/0!</v>
      </c>
    </row>
    <row r="238" spans="31:39" x14ac:dyDescent="0.5">
      <c r="AE238" s="104"/>
      <c r="AF238" s="62">
        <v>0.249999999999999</v>
      </c>
      <c r="AG238" s="62" t="e">
        <f t="shared" si="316"/>
        <v>#DIV/0!</v>
      </c>
      <c r="AH238" s="62" t="e">
        <f t="shared" si="317"/>
        <v>#DIV/0!</v>
      </c>
      <c r="AI238" s="62" t="e">
        <f t="shared" si="320"/>
        <v>#DIV/0!</v>
      </c>
      <c r="AJ238" s="62" t="e">
        <f t="shared" si="321"/>
        <v>#DIV/0!</v>
      </c>
      <c r="AK238" s="62" t="e">
        <f t="shared" si="315"/>
        <v>#DIV/0!</v>
      </c>
      <c r="AL238" s="59" t="e">
        <f t="shared" si="319"/>
        <v>#DIV/0!</v>
      </c>
      <c r="AM238" s="101" t="e">
        <f t="shared" si="318"/>
        <v>#DIV/0!</v>
      </c>
    </row>
    <row r="239" spans="31:39" x14ac:dyDescent="0.5">
      <c r="AE239" s="104"/>
      <c r="AF239" s="62">
        <v>0.23999999999999899</v>
      </c>
      <c r="AG239" s="62" t="e">
        <f t="shared" si="316"/>
        <v>#DIV/0!</v>
      </c>
      <c r="AH239" s="62" t="e">
        <f t="shared" si="317"/>
        <v>#DIV/0!</v>
      </c>
      <c r="AI239" s="62" t="e">
        <f t="shared" si="320"/>
        <v>#DIV/0!</v>
      </c>
      <c r="AJ239" s="62" t="e">
        <f t="shared" si="321"/>
        <v>#DIV/0!</v>
      </c>
      <c r="AK239" s="62" t="e">
        <f t="shared" si="315"/>
        <v>#DIV/0!</v>
      </c>
      <c r="AL239" s="59" t="e">
        <f t="shared" si="319"/>
        <v>#DIV/0!</v>
      </c>
      <c r="AM239" s="101" t="e">
        <f t="shared" si="318"/>
        <v>#DIV/0!</v>
      </c>
    </row>
    <row r="240" spans="31:39" x14ac:dyDescent="0.5">
      <c r="AE240" s="104"/>
      <c r="AF240" s="62">
        <v>0.22999999999999901</v>
      </c>
      <c r="AG240" s="62" t="e">
        <f t="shared" si="316"/>
        <v>#DIV/0!</v>
      </c>
      <c r="AH240" s="62" t="e">
        <f t="shared" si="317"/>
        <v>#DIV/0!</v>
      </c>
      <c r="AI240" s="62" t="e">
        <f t="shared" si="320"/>
        <v>#DIV/0!</v>
      </c>
      <c r="AJ240" s="62" t="e">
        <f t="shared" si="321"/>
        <v>#DIV/0!</v>
      </c>
      <c r="AK240" s="62" t="e">
        <f t="shared" si="315"/>
        <v>#DIV/0!</v>
      </c>
      <c r="AL240" s="59" t="e">
        <f t="shared" si="319"/>
        <v>#DIV/0!</v>
      </c>
      <c r="AM240" s="101" t="e">
        <f t="shared" si="318"/>
        <v>#DIV/0!</v>
      </c>
    </row>
    <row r="241" spans="31:39" x14ac:dyDescent="0.5">
      <c r="AE241" s="104"/>
      <c r="AF241" s="62">
        <v>0.219999999999999</v>
      </c>
      <c r="AG241" s="62" t="e">
        <f t="shared" si="316"/>
        <v>#DIV/0!</v>
      </c>
      <c r="AH241" s="62" t="e">
        <f t="shared" si="317"/>
        <v>#DIV/0!</v>
      </c>
      <c r="AI241" s="62" t="e">
        <f t="shared" si="320"/>
        <v>#DIV/0!</v>
      </c>
      <c r="AJ241" s="62" t="e">
        <f t="shared" si="321"/>
        <v>#DIV/0!</v>
      </c>
      <c r="AK241" s="62" t="e">
        <f t="shared" si="315"/>
        <v>#DIV/0!</v>
      </c>
      <c r="AL241" s="59" t="e">
        <f t="shared" si="319"/>
        <v>#DIV/0!</v>
      </c>
      <c r="AM241" s="101" t="e">
        <f t="shared" si="318"/>
        <v>#DIV/0!</v>
      </c>
    </row>
    <row r="242" spans="31:39" x14ac:dyDescent="0.5">
      <c r="AE242" s="104"/>
      <c r="AF242" s="62">
        <v>0.20999999999999899</v>
      </c>
      <c r="AG242" s="62" t="e">
        <f t="shared" si="316"/>
        <v>#DIV/0!</v>
      </c>
      <c r="AH242" s="62" t="e">
        <f t="shared" si="317"/>
        <v>#DIV/0!</v>
      </c>
      <c r="AI242" s="62" t="e">
        <f t="shared" si="320"/>
        <v>#DIV/0!</v>
      </c>
      <c r="AJ242" s="62" t="e">
        <f t="shared" si="321"/>
        <v>#DIV/0!</v>
      </c>
      <c r="AK242" s="62" t="e">
        <f t="shared" si="315"/>
        <v>#DIV/0!</v>
      </c>
      <c r="AL242" s="59" t="e">
        <f t="shared" si="319"/>
        <v>#DIV/0!</v>
      </c>
      <c r="AM242" s="101" t="e">
        <f t="shared" si="318"/>
        <v>#DIV/0!</v>
      </c>
    </row>
    <row r="243" spans="31:39" x14ac:dyDescent="0.5">
      <c r="AE243" s="104"/>
      <c r="AF243" s="62">
        <v>0.19999999999999901</v>
      </c>
      <c r="AG243" s="62" t="e">
        <f t="shared" si="316"/>
        <v>#DIV/0!</v>
      </c>
      <c r="AH243" s="62" t="e">
        <f t="shared" si="317"/>
        <v>#DIV/0!</v>
      </c>
      <c r="AI243" s="62" t="e">
        <f t="shared" si="320"/>
        <v>#DIV/0!</v>
      </c>
      <c r="AJ243" s="62" t="e">
        <f t="shared" si="321"/>
        <v>#DIV/0!</v>
      </c>
      <c r="AK243" s="62" t="e">
        <f t="shared" si="315"/>
        <v>#DIV/0!</v>
      </c>
      <c r="AL243" s="59" t="e">
        <f t="shared" si="319"/>
        <v>#DIV/0!</v>
      </c>
      <c r="AM243" s="101" t="e">
        <f t="shared" si="318"/>
        <v>#DIV/0!</v>
      </c>
    </row>
    <row r="244" spans="31:39" x14ac:dyDescent="0.5">
      <c r="AE244" s="104"/>
      <c r="AF244" s="62">
        <v>0.189999999999999</v>
      </c>
      <c r="AG244" s="62" t="e">
        <f t="shared" si="316"/>
        <v>#DIV/0!</v>
      </c>
      <c r="AH244" s="62" t="e">
        <f t="shared" si="317"/>
        <v>#DIV/0!</v>
      </c>
      <c r="AI244" s="62" t="e">
        <f t="shared" si="320"/>
        <v>#DIV/0!</v>
      </c>
      <c r="AJ244" s="62" t="e">
        <f t="shared" si="321"/>
        <v>#DIV/0!</v>
      </c>
      <c r="AK244" s="62" t="e">
        <f t="shared" si="315"/>
        <v>#DIV/0!</v>
      </c>
      <c r="AL244" s="59" t="e">
        <f t="shared" si="319"/>
        <v>#DIV/0!</v>
      </c>
      <c r="AM244" s="101" t="e">
        <f t="shared" si="318"/>
        <v>#DIV/0!</v>
      </c>
    </row>
    <row r="245" spans="31:39" x14ac:dyDescent="0.5">
      <c r="AE245" s="104"/>
      <c r="AF245" s="62">
        <v>0.17999999999999899</v>
      </c>
      <c r="AG245" s="62" t="e">
        <f t="shared" si="316"/>
        <v>#DIV/0!</v>
      </c>
      <c r="AH245" s="62" t="e">
        <f t="shared" si="317"/>
        <v>#DIV/0!</v>
      </c>
      <c r="AI245" s="62" t="e">
        <f t="shared" si="320"/>
        <v>#DIV/0!</v>
      </c>
      <c r="AJ245" s="62" t="e">
        <f t="shared" si="321"/>
        <v>#DIV/0!</v>
      </c>
      <c r="AK245" s="62" t="e">
        <f t="shared" si="315"/>
        <v>#DIV/0!</v>
      </c>
      <c r="AL245" s="59" t="e">
        <f t="shared" si="319"/>
        <v>#DIV/0!</v>
      </c>
      <c r="AM245" s="101" t="e">
        <f t="shared" si="318"/>
        <v>#DIV/0!</v>
      </c>
    </row>
    <row r="246" spans="31:39" x14ac:dyDescent="0.5">
      <c r="AE246" s="104"/>
      <c r="AF246" s="62">
        <v>0.16999999999999901</v>
      </c>
      <c r="AG246" s="62" t="e">
        <f t="shared" si="316"/>
        <v>#DIV/0!</v>
      </c>
      <c r="AH246" s="62" t="e">
        <f t="shared" si="317"/>
        <v>#DIV/0!</v>
      </c>
      <c r="AI246" s="62" t="e">
        <f t="shared" si="320"/>
        <v>#DIV/0!</v>
      </c>
      <c r="AJ246" s="62" t="e">
        <f t="shared" si="321"/>
        <v>#DIV/0!</v>
      </c>
      <c r="AK246" s="62" t="e">
        <f t="shared" si="315"/>
        <v>#DIV/0!</v>
      </c>
      <c r="AL246" s="59" t="e">
        <f t="shared" si="319"/>
        <v>#DIV/0!</v>
      </c>
      <c r="AM246" s="101" t="e">
        <f t="shared" si="318"/>
        <v>#DIV/0!</v>
      </c>
    </row>
    <row r="247" spans="31:39" x14ac:dyDescent="0.5">
      <c r="AE247" s="104"/>
      <c r="AF247" s="62">
        <v>0.159999999999999</v>
      </c>
      <c r="AG247" s="62" t="e">
        <f t="shared" si="316"/>
        <v>#DIV/0!</v>
      </c>
      <c r="AH247" s="62" t="e">
        <f t="shared" si="317"/>
        <v>#DIV/0!</v>
      </c>
      <c r="AI247" s="62" t="e">
        <f t="shared" si="320"/>
        <v>#DIV/0!</v>
      </c>
      <c r="AJ247" s="62" t="e">
        <f t="shared" si="321"/>
        <v>#DIV/0!</v>
      </c>
      <c r="AK247" s="62" t="e">
        <f t="shared" si="315"/>
        <v>#DIV/0!</v>
      </c>
      <c r="AL247" s="59" t="e">
        <f t="shared" si="319"/>
        <v>#DIV/0!</v>
      </c>
      <c r="AM247" s="101" t="e">
        <f t="shared" si="318"/>
        <v>#DIV/0!</v>
      </c>
    </row>
    <row r="248" spans="31:39" x14ac:dyDescent="0.5">
      <c r="AE248" s="104"/>
      <c r="AF248" s="62">
        <v>0.149999999999999</v>
      </c>
      <c r="AG248" s="62" t="e">
        <f t="shared" si="316"/>
        <v>#DIV/0!</v>
      </c>
      <c r="AH248" s="62" t="e">
        <f t="shared" si="317"/>
        <v>#DIV/0!</v>
      </c>
      <c r="AI248" s="62" t="e">
        <f t="shared" si="320"/>
        <v>#DIV/0!</v>
      </c>
      <c r="AJ248" s="62" t="e">
        <f t="shared" si="321"/>
        <v>#DIV/0!</v>
      </c>
      <c r="AK248" s="62" t="e">
        <f t="shared" si="315"/>
        <v>#DIV/0!</v>
      </c>
      <c r="AL248" s="59" t="e">
        <f t="shared" si="319"/>
        <v>#DIV/0!</v>
      </c>
      <c r="AM248" s="101" t="e">
        <f t="shared" si="318"/>
        <v>#DIV/0!</v>
      </c>
    </row>
    <row r="249" spans="31:39" x14ac:dyDescent="0.5">
      <c r="AE249" s="104"/>
      <c r="AF249" s="62">
        <v>0.13999999999999899</v>
      </c>
      <c r="AG249" s="62" t="e">
        <f t="shared" si="316"/>
        <v>#DIV/0!</v>
      </c>
      <c r="AH249" s="62" t="e">
        <f t="shared" si="317"/>
        <v>#DIV/0!</v>
      </c>
      <c r="AI249" s="62" t="e">
        <f t="shared" si="320"/>
        <v>#DIV/0!</v>
      </c>
      <c r="AJ249" s="62" t="e">
        <f t="shared" si="321"/>
        <v>#DIV/0!</v>
      </c>
      <c r="AK249" s="62" t="e">
        <f t="shared" si="315"/>
        <v>#DIV/0!</v>
      </c>
      <c r="AL249" s="59" t="e">
        <f t="shared" si="319"/>
        <v>#DIV/0!</v>
      </c>
      <c r="AM249" s="101" t="e">
        <f t="shared" si="318"/>
        <v>#DIV/0!</v>
      </c>
    </row>
    <row r="250" spans="31:39" x14ac:dyDescent="0.5">
      <c r="AE250" s="104"/>
      <c r="AF250" s="62">
        <v>0.12999999999999901</v>
      </c>
      <c r="AG250" s="62" t="e">
        <f t="shared" si="316"/>
        <v>#DIV/0!</v>
      </c>
      <c r="AH250" s="62" t="e">
        <f t="shared" si="317"/>
        <v>#DIV/0!</v>
      </c>
      <c r="AI250" s="62" t="e">
        <f t="shared" si="320"/>
        <v>#DIV/0!</v>
      </c>
      <c r="AJ250" s="62" t="e">
        <f t="shared" si="321"/>
        <v>#DIV/0!</v>
      </c>
      <c r="AK250" s="62" t="e">
        <f t="shared" si="315"/>
        <v>#DIV/0!</v>
      </c>
      <c r="AL250" s="59" t="e">
        <f t="shared" si="319"/>
        <v>#DIV/0!</v>
      </c>
      <c r="AM250" s="101" t="e">
        <f t="shared" si="318"/>
        <v>#DIV/0!</v>
      </c>
    </row>
    <row r="251" spans="31:39" x14ac:dyDescent="0.5">
      <c r="AE251" s="104"/>
      <c r="AF251" s="62">
        <v>0.119999999999999</v>
      </c>
      <c r="AG251" s="62" t="e">
        <f t="shared" si="316"/>
        <v>#DIV/0!</v>
      </c>
      <c r="AH251" s="62" t="e">
        <f t="shared" si="317"/>
        <v>#DIV/0!</v>
      </c>
      <c r="AI251" s="62" t="e">
        <f t="shared" si="320"/>
        <v>#DIV/0!</v>
      </c>
      <c r="AJ251" s="62" t="e">
        <f t="shared" si="321"/>
        <v>#DIV/0!</v>
      </c>
      <c r="AK251" s="62" t="e">
        <f t="shared" si="315"/>
        <v>#DIV/0!</v>
      </c>
      <c r="AL251" s="59" t="e">
        <f t="shared" si="319"/>
        <v>#DIV/0!</v>
      </c>
      <c r="AM251" s="101" t="e">
        <f t="shared" si="318"/>
        <v>#DIV/0!</v>
      </c>
    </row>
    <row r="252" spans="31:39" x14ac:dyDescent="0.5">
      <c r="AE252" s="104"/>
      <c r="AF252" s="62">
        <v>0.109999999999999</v>
      </c>
      <c r="AG252" s="62" t="e">
        <f t="shared" si="316"/>
        <v>#DIV/0!</v>
      </c>
      <c r="AH252" s="62" t="e">
        <f t="shared" si="317"/>
        <v>#DIV/0!</v>
      </c>
      <c r="AI252" s="62" t="e">
        <f t="shared" si="320"/>
        <v>#DIV/0!</v>
      </c>
      <c r="AJ252" s="62" t="e">
        <f t="shared" si="321"/>
        <v>#DIV/0!</v>
      </c>
      <c r="AK252" s="62" t="e">
        <f t="shared" si="315"/>
        <v>#DIV/0!</v>
      </c>
      <c r="AL252" s="59" t="e">
        <f t="shared" si="319"/>
        <v>#DIV/0!</v>
      </c>
      <c r="AM252" s="101" t="e">
        <f t="shared" si="318"/>
        <v>#DIV/0!</v>
      </c>
    </row>
    <row r="253" spans="31:39" x14ac:dyDescent="0.5">
      <c r="AE253" s="104"/>
      <c r="AF253" s="62">
        <v>9.9999999999999006E-2</v>
      </c>
      <c r="AG253" s="62" t="e">
        <f t="shared" si="316"/>
        <v>#DIV/0!</v>
      </c>
      <c r="AH253" s="62" t="e">
        <f t="shared" si="317"/>
        <v>#DIV/0!</v>
      </c>
      <c r="AI253" s="62" t="e">
        <f t="shared" si="320"/>
        <v>#DIV/0!</v>
      </c>
      <c r="AJ253" s="62" t="e">
        <f t="shared" si="321"/>
        <v>#DIV/0!</v>
      </c>
      <c r="AK253" s="62" t="e">
        <f t="shared" si="315"/>
        <v>#DIV/0!</v>
      </c>
      <c r="AL253" s="59" t="e">
        <f t="shared" si="319"/>
        <v>#DIV/0!</v>
      </c>
      <c r="AM253" s="101" t="e">
        <f t="shared" si="318"/>
        <v>#DIV/0!</v>
      </c>
    </row>
    <row r="254" spans="31:39" x14ac:dyDescent="0.5">
      <c r="AE254" s="104"/>
      <c r="AF254" s="62">
        <v>8.9999999999998997E-2</v>
      </c>
      <c r="AG254" s="62" t="e">
        <f t="shared" si="316"/>
        <v>#DIV/0!</v>
      </c>
      <c r="AH254" s="62" t="e">
        <f t="shared" si="317"/>
        <v>#DIV/0!</v>
      </c>
      <c r="AI254" s="62" t="e">
        <f t="shared" si="320"/>
        <v>#DIV/0!</v>
      </c>
      <c r="AJ254" s="62" t="e">
        <f t="shared" si="321"/>
        <v>#DIV/0!</v>
      </c>
      <c r="AK254" s="62" t="e">
        <f t="shared" si="315"/>
        <v>#DIV/0!</v>
      </c>
      <c r="AL254" s="59" t="e">
        <f t="shared" si="319"/>
        <v>#DIV/0!</v>
      </c>
      <c r="AM254" s="101" t="e">
        <f t="shared" si="318"/>
        <v>#DIV/0!</v>
      </c>
    </row>
    <row r="255" spans="31:39" x14ac:dyDescent="0.5">
      <c r="AE255" s="104"/>
      <c r="AF255" s="62">
        <v>7.9999999999999002E-2</v>
      </c>
      <c r="AG255" s="62" t="e">
        <f t="shared" si="316"/>
        <v>#DIV/0!</v>
      </c>
      <c r="AH255" s="62" t="e">
        <f t="shared" si="317"/>
        <v>#DIV/0!</v>
      </c>
      <c r="AI255" s="62" t="e">
        <f t="shared" si="320"/>
        <v>#DIV/0!</v>
      </c>
      <c r="AJ255" s="62" t="e">
        <f t="shared" si="321"/>
        <v>#DIV/0!</v>
      </c>
      <c r="AK255" s="62" t="e">
        <f t="shared" si="315"/>
        <v>#DIV/0!</v>
      </c>
      <c r="AL255" s="59" t="e">
        <f t="shared" si="319"/>
        <v>#DIV/0!</v>
      </c>
      <c r="AM255" s="101" t="e">
        <f t="shared" si="318"/>
        <v>#DIV/0!</v>
      </c>
    </row>
    <row r="256" spans="31:39" x14ac:dyDescent="0.5">
      <c r="AE256" s="104"/>
      <c r="AF256" s="62">
        <v>6.9999999999998994E-2</v>
      </c>
      <c r="AG256" s="62" t="e">
        <f t="shared" si="316"/>
        <v>#DIV/0!</v>
      </c>
      <c r="AH256" s="62" t="e">
        <f t="shared" si="317"/>
        <v>#DIV/0!</v>
      </c>
      <c r="AI256" s="62" t="e">
        <f t="shared" si="320"/>
        <v>#DIV/0!</v>
      </c>
      <c r="AJ256" s="62" t="e">
        <f t="shared" si="321"/>
        <v>#DIV/0!</v>
      </c>
      <c r="AK256" s="62" t="e">
        <f t="shared" si="315"/>
        <v>#DIV/0!</v>
      </c>
      <c r="AL256" s="59" t="e">
        <f t="shared" si="319"/>
        <v>#DIV/0!</v>
      </c>
      <c r="AM256" s="101" t="e">
        <f t="shared" si="318"/>
        <v>#DIV/0!</v>
      </c>
    </row>
    <row r="257" spans="31:39" x14ac:dyDescent="0.5">
      <c r="AE257" s="104"/>
      <c r="AF257" s="62">
        <v>5.9999999999999103E-2</v>
      </c>
      <c r="AG257" s="62" t="e">
        <f t="shared" si="316"/>
        <v>#DIV/0!</v>
      </c>
      <c r="AH257" s="62" t="e">
        <f t="shared" si="317"/>
        <v>#DIV/0!</v>
      </c>
      <c r="AI257" s="62" t="e">
        <f t="shared" si="320"/>
        <v>#DIV/0!</v>
      </c>
      <c r="AJ257" s="62" t="e">
        <f t="shared" si="321"/>
        <v>#DIV/0!</v>
      </c>
      <c r="AK257" s="62" t="e">
        <f t="shared" si="315"/>
        <v>#DIV/0!</v>
      </c>
      <c r="AL257" s="59" t="e">
        <f t="shared" si="319"/>
        <v>#DIV/0!</v>
      </c>
      <c r="AM257" s="101" t="e">
        <f t="shared" si="318"/>
        <v>#DIV/0!</v>
      </c>
    </row>
    <row r="258" spans="31:39" x14ac:dyDescent="0.5">
      <c r="AE258" s="104"/>
      <c r="AF258" s="62">
        <v>4.9999999999998997E-2</v>
      </c>
      <c r="AG258" s="62" t="e">
        <f t="shared" si="316"/>
        <v>#DIV/0!</v>
      </c>
      <c r="AH258" s="62" t="e">
        <f t="shared" si="317"/>
        <v>#DIV/0!</v>
      </c>
      <c r="AI258" s="62" t="e">
        <f t="shared" si="320"/>
        <v>#DIV/0!</v>
      </c>
      <c r="AJ258" s="62" t="e">
        <f t="shared" si="321"/>
        <v>#DIV/0!</v>
      </c>
      <c r="AK258" s="62" t="e">
        <f t="shared" si="315"/>
        <v>#DIV/0!</v>
      </c>
      <c r="AL258" s="59" t="e">
        <f t="shared" si="319"/>
        <v>#DIV/0!</v>
      </c>
      <c r="AM258" s="101" t="e">
        <f t="shared" si="318"/>
        <v>#DIV/0!</v>
      </c>
    </row>
    <row r="259" spans="31:39" x14ac:dyDescent="0.5">
      <c r="AE259" s="104"/>
      <c r="AF259" s="62">
        <v>3.9999999999999002E-2</v>
      </c>
      <c r="AG259" s="62" t="e">
        <f t="shared" si="316"/>
        <v>#DIV/0!</v>
      </c>
      <c r="AH259" s="62" t="e">
        <f t="shared" si="317"/>
        <v>#DIV/0!</v>
      </c>
      <c r="AI259" s="62" t="e">
        <f t="shared" si="320"/>
        <v>#DIV/0!</v>
      </c>
      <c r="AJ259" s="62" t="e">
        <f t="shared" si="321"/>
        <v>#DIV/0!</v>
      </c>
      <c r="AK259" s="62" t="e">
        <f t="shared" ref="AK259:AK263" si="322">AI259*AJ259</f>
        <v>#DIV/0!</v>
      </c>
      <c r="AL259" s="59" t="e">
        <f>ROUND(SLOPE(AI255:AI263,AJ255:AJ263),0)</f>
        <v>#DIV/0!</v>
      </c>
      <c r="AM259" s="101" t="e">
        <f t="shared" si="318"/>
        <v>#DIV/0!</v>
      </c>
    </row>
    <row r="260" spans="31:39" x14ac:dyDescent="0.5">
      <c r="AE260" s="104"/>
      <c r="AF260" s="62">
        <v>2.9999999999999E-2</v>
      </c>
      <c r="AG260" s="62" t="e">
        <f t="shared" si="316"/>
        <v>#DIV/0!</v>
      </c>
      <c r="AH260" s="62" t="e">
        <f t="shared" si="317"/>
        <v>#DIV/0!</v>
      </c>
      <c r="AI260" s="62" t="e">
        <f t="shared" si="320"/>
        <v>#DIV/0!</v>
      </c>
      <c r="AJ260" s="62" t="e">
        <f t="shared" si="321"/>
        <v>#DIV/0!</v>
      </c>
      <c r="AK260" s="62" t="e">
        <f t="shared" si="322"/>
        <v>#DIV/0!</v>
      </c>
      <c r="AL260" s="59" t="e">
        <f>ROUND(SLOPE(AI256:AI263,AJ256:AJ263),0)</f>
        <v>#DIV/0!</v>
      </c>
      <c r="AM260" s="101" t="e">
        <f t="shared" si="318"/>
        <v>#DIV/0!</v>
      </c>
    </row>
    <row r="261" spans="31:39" x14ac:dyDescent="0.5">
      <c r="AE261" s="104"/>
      <c r="AF261" s="62">
        <v>1.9999999999999001E-2</v>
      </c>
      <c r="AG261" s="62" t="e">
        <f t="shared" si="316"/>
        <v>#DIV/0!</v>
      </c>
      <c r="AH261" s="62" t="e">
        <f t="shared" si="317"/>
        <v>#DIV/0!</v>
      </c>
      <c r="AI261" s="62" t="e">
        <f t="shared" si="320"/>
        <v>#DIV/0!</v>
      </c>
      <c r="AJ261" s="62" t="e">
        <f t="shared" si="321"/>
        <v>#DIV/0!</v>
      </c>
      <c r="AK261" s="62" t="e">
        <f t="shared" si="322"/>
        <v>#DIV/0!</v>
      </c>
      <c r="AL261" s="59" t="e">
        <f>ROUND(SLOPE(AI257:AI263,AJ257:AJ263),0)</f>
        <v>#DIV/0!</v>
      </c>
      <c r="AM261" s="101" t="e">
        <f t="shared" si="318"/>
        <v>#DIV/0!</v>
      </c>
    </row>
    <row r="262" spans="31:39" x14ac:dyDescent="0.5">
      <c r="AE262" s="104"/>
      <c r="AF262" s="62">
        <v>9.9999999999990097E-3</v>
      </c>
      <c r="AG262" s="62" t="e">
        <f t="shared" si="316"/>
        <v>#DIV/0!</v>
      </c>
      <c r="AH262" s="62" t="e">
        <f t="shared" si="317"/>
        <v>#DIV/0!</v>
      </c>
      <c r="AI262" s="62" t="e">
        <f t="shared" si="320"/>
        <v>#DIV/0!</v>
      </c>
      <c r="AJ262" s="62" t="e">
        <f t="shared" si="321"/>
        <v>#DIV/0!</v>
      </c>
      <c r="AK262" s="62" t="e">
        <f t="shared" si="322"/>
        <v>#DIV/0!</v>
      </c>
      <c r="AL262" s="59" t="e">
        <f>ROUND(SLOPE(AI258:AI263,AJ258:AJ263),0)</f>
        <v>#DIV/0!</v>
      </c>
      <c r="AM262" s="101" t="e">
        <f t="shared" si="318"/>
        <v>#DIV/0!</v>
      </c>
    </row>
    <row r="263" spans="31:39" x14ac:dyDescent="0.5">
      <c r="AE263" s="104"/>
      <c r="AF263" s="62">
        <v>0</v>
      </c>
      <c r="AG263" s="62" t="e">
        <f t="shared" si="316"/>
        <v>#DIV/0!</v>
      </c>
      <c r="AH263" s="62" t="e">
        <f t="shared" si="317"/>
        <v>#DIV/0!</v>
      </c>
      <c r="AI263" s="62" t="e">
        <f t="shared" si="320"/>
        <v>#DIV/0!</v>
      </c>
      <c r="AJ263" s="62" t="e">
        <f t="shared" si="321"/>
        <v>#DIV/0!</v>
      </c>
      <c r="AK263" s="62" t="e">
        <f t="shared" si="322"/>
        <v>#DIV/0!</v>
      </c>
      <c r="AL263" s="59" t="e">
        <f>ROUND(SLOPE(AI259:AI263,AJ259:AJ263),0)</f>
        <v>#DIV/0!</v>
      </c>
      <c r="AM263" s="101" t="e">
        <f>ROUND(((AL262-AL263)/AL262),4)</f>
        <v>#DIV/0!</v>
      </c>
    </row>
  </sheetData>
  <sheetProtection algorithmName="SHA-512" hashValue="/Cex1AskxJU8SbKvfdXBCZM6MNKbCmvLrIUr30SSMWaM/j3TqulY4v0997u9EThsXQDZStO8YFvAoyFuCFDTxg==" saltValue="P1zYQCOHfsYXLiSixG4lzQ==" spinCount="100000" sheet="1" objects="1" scenarios="1" selectLockedCells="1"/>
  <mergeCells count="59">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 ref="H3:I3"/>
    <mergeCell ref="W9:X9"/>
    <mergeCell ref="W6:X8"/>
    <mergeCell ref="W5:X5"/>
    <mergeCell ref="L3:AB3"/>
    <mergeCell ref="AA5:AB5"/>
    <mergeCell ref="Y5:Z5"/>
    <mergeCell ref="J3:K3"/>
    <mergeCell ref="U6:V8"/>
    <mergeCell ref="S9:T9"/>
    <mergeCell ref="S6:T8"/>
    <mergeCell ref="AA6:AB8"/>
    <mergeCell ref="Y6:Z8"/>
    <mergeCell ref="Y17:AB19"/>
    <mergeCell ref="U11:V11"/>
    <mergeCell ref="U12:V14"/>
    <mergeCell ref="AA11:AB11"/>
    <mergeCell ref="Y9:Z9"/>
    <mergeCell ref="AA9:AB9"/>
    <mergeCell ref="Y16:AB16"/>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W23:X23"/>
    <mergeCell ref="W26:X27"/>
    <mergeCell ref="Y26:Z27"/>
    <mergeCell ref="AA26:AB27"/>
    <mergeCell ref="W25:X25"/>
    <mergeCell ref="Y25:Z25"/>
    <mergeCell ref="AA25:AB2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7" r:id="rId4" name="ComboBox1">
          <controlPr locked="0" defaultSize="0" autoLine="0" autoPict="0" linkedCell="Z74" listFillRange="Z68:Z72" r:id="rId5">
            <anchor moveWithCells="1">
              <from>
                <xdr:col>18</xdr:col>
                <xdr:colOff>49530</xdr:colOff>
                <xdr:row>16</xdr:row>
                <xdr:rowOff>38100</xdr:rowOff>
              </from>
              <to>
                <xdr:col>22</xdr:col>
                <xdr:colOff>342900</xdr:colOff>
                <xdr:row>17</xdr:row>
                <xdr:rowOff>152400</xdr:rowOff>
              </to>
            </anchor>
          </controlPr>
        </control>
      </mc:Choice>
      <mc:Fallback>
        <control shapeId="1107" r:id="rId4" name="ComboBox1"/>
      </mc:Fallback>
    </mc:AlternateContent>
    <mc:AlternateContent xmlns:mc="http://schemas.openxmlformats.org/markup-compatibility/2006">
      <mc:Choice Requires="x14">
        <control shapeId="1108" r:id="rId6" name="ComboBox2">
          <controlPr locked="0" defaultSize="0" autoLine="0" autoPict="0" linkedCell="AF81" listFillRange="Z81:Z102" r:id="rId7">
            <anchor moveWithCells="1">
              <from>
                <xdr:col>24</xdr:col>
                <xdr:colOff>209550</xdr:colOff>
                <xdr:row>21</xdr:row>
                <xdr:rowOff>220980</xdr:rowOff>
              </from>
              <to>
                <xdr:col>27</xdr:col>
                <xdr:colOff>316230</xdr:colOff>
                <xdr:row>23</xdr:row>
                <xdr:rowOff>68580</xdr:rowOff>
              </to>
            </anchor>
          </controlPr>
        </control>
      </mc:Choice>
      <mc:Fallback>
        <control shapeId="1108" r:id="rId6" name="ComboBox2"/>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EE0C1D4-E25D-42D4-8B85-7EEE84D1E63C}">
  <ds:schemaRefs>
    <ds:schemaRef ds:uri="http://schemas.microsoft.com/sharepoint/v3/contenttype/forms"/>
  </ds:schemaRefs>
</ds:datastoreItem>
</file>

<file path=customXml/itemProps2.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2022-08-05T14:24:34Z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