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5391" documentId="11_AC903186615CE3397B56A573A7836AFC4EBF1CDB" xr6:coauthVersionLast="47" xr6:coauthVersionMax="47" xr10:uidLastSave="{7B070041-9EF6-4663-A336-05139BCEA235}"/>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1" l="1"/>
  <c r="Q7" i="1"/>
  <c r="P7" i="1"/>
  <c r="O7" i="1"/>
  <c r="N7" i="1"/>
  <c r="M7" i="1"/>
  <c r="L7" i="1"/>
  <c r="K7" i="1"/>
  <c r="J7" i="1"/>
  <c r="I7" i="1"/>
  <c r="H7" i="1"/>
  <c r="G7" i="1"/>
  <c r="F7" i="1"/>
  <c r="E7" i="1"/>
  <c r="D7" i="1"/>
  <c r="C7" i="1"/>
  <c r="AT121" i="1"/>
  <c r="AT122"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T118" i="1" s="1"/>
  <c r="AS116" i="1"/>
  <c r="AT116" i="1" s="1"/>
  <c r="AS119" i="1"/>
  <c r="AT119" i="1" s="1"/>
  <c r="AS120" i="1"/>
  <c r="AT120" i="1" s="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V88"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T178" i="1" s="1"/>
  <c r="AS181" i="1"/>
  <c r="AT181" i="1" s="1"/>
  <c r="AS180" i="1"/>
  <c r="AT180" i="1" s="1"/>
  <c r="AS177" i="1"/>
  <c r="AT177" i="1" s="1"/>
  <c r="AS175" i="1"/>
  <c r="AT175" i="1" s="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AT176" i="1" s="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AC100" i="1" s="1"/>
  <c r="H165" i="1"/>
  <c r="AA102" i="1" s="1"/>
  <c r="AC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C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C99" i="1" s="1"/>
  <c r="AJ184" i="1"/>
  <c r="AK184" i="1" s="1"/>
  <c r="AA54" i="1"/>
  <c r="H152" i="1"/>
  <c r="AJ250" i="1"/>
  <c r="AK250" i="1" s="1"/>
  <c r="H149" i="1"/>
  <c r="AJ247" i="1"/>
  <c r="H125" i="1"/>
  <c r="AA94" i="1" s="1"/>
  <c r="AC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C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C96" i="1" s="1"/>
  <c r="AJ233" i="1"/>
  <c r="AK233" i="1" s="1"/>
  <c r="H156" i="1"/>
  <c r="AJ254" i="1"/>
  <c r="AK254" i="1" s="1"/>
  <c r="AJ241" i="1"/>
  <c r="AK241" i="1" s="1"/>
  <c r="AJ173" i="1"/>
  <c r="H161" i="1"/>
  <c r="AJ259" i="1"/>
  <c r="H138" i="1"/>
  <c r="AJ236" i="1"/>
  <c r="AK236" i="1" s="1"/>
  <c r="H123" i="1"/>
  <c r="AJ221" i="1"/>
  <c r="AK221" i="1" s="1"/>
  <c r="H140" i="1"/>
  <c r="AA97" i="1" s="1"/>
  <c r="AC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AC84" i="1" l="1"/>
  <c r="I90" i="1"/>
  <c r="AB87" i="1" s="1"/>
  <c r="AA87" i="1"/>
  <c r="AC87" i="1" s="1"/>
  <c r="I80" i="1"/>
  <c r="AB85" i="1" s="1"/>
  <c r="AA85" i="1"/>
  <c r="AC85" i="1" s="1"/>
  <c r="I65" i="1"/>
  <c r="AB82" i="1" s="1"/>
  <c r="AA82" i="1"/>
  <c r="AC82" i="1" s="1"/>
  <c r="I85" i="1"/>
  <c r="AB86" i="1" s="1"/>
  <c r="AA86" i="1"/>
  <c r="AC86" i="1" s="1"/>
  <c r="I130" i="1"/>
  <c r="AB95" i="1" s="1"/>
  <c r="AA95" i="1"/>
  <c r="AC95" i="1" s="1"/>
  <c r="I100" i="1"/>
  <c r="AB89" i="1" s="1"/>
  <c r="AA89" i="1"/>
  <c r="AC89" i="1" s="1"/>
  <c r="I95" i="1"/>
  <c r="AB88" i="1" s="1"/>
  <c r="AA88" i="1"/>
  <c r="AC88" i="1" s="1"/>
  <c r="I110" i="1"/>
  <c r="AB91" i="1" s="1"/>
  <c r="AA91" i="1"/>
  <c r="AC91" i="1" s="1"/>
  <c r="I115" i="1"/>
  <c r="AB92" i="1" s="1"/>
  <c r="AA92" i="1"/>
  <c r="AC92" i="1" s="1"/>
  <c r="I145" i="1"/>
  <c r="AB98" i="1" s="1"/>
  <c r="AA98" i="1"/>
  <c r="AC98" i="1" s="1"/>
  <c r="I105" i="1"/>
  <c r="AB90" i="1" s="1"/>
  <c r="AA90" i="1"/>
  <c r="AC90" i="1" s="1"/>
  <c r="I70" i="1"/>
  <c r="AB83" i="1" s="1"/>
  <c r="AA83" i="1"/>
  <c r="AC83" i="1" s="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C81" i="1" l="1"/>
  <c r="AI81" i="1" s="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<sst xmlns="http://schemas.openxmlformats.org/spreadsheetml/2006/main" count="785" uniqueCount="337">
  <si>
    <t>Pmax</t>
  </si>
  <si>
    <t>F0</t>
  </si>
  <si>
    <t>ID</t>
  </si>
  <si>
    <t>Exercise</t>
  </si>
  <si>
    <t>m/s</t>
  </si>
  <si>
    <t>V</t>
  </si>
  <si>
    <t>P</t>
  </si>
  <si>
    <t>Fopt</t>
  </si>
  <si>
    <t>Vopt</t>
  </si>
  <si>
    <t>Date</t>
  </si>
  <si>
    <t>Date:</t>
  </si>
  <si>
    <t xml:space="preserve">Evaluation:   </t>
  </si>
  <si>
    <t>Name</t>
  </si>
  <si>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</si>
  <si>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</si>
  <si>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</si>
  <si>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</si>
  <si>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</si>
  <si>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</si>
  <si>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</si>
  <si>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</si>
  <si>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</si>
  <si>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</si>
  <si>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</si>
  <si>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</si>
  <si>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</si>
  <si>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</si>
  <si>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</si>
  <si>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</si>
  <si>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</si>
  <si>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RESULT</t>
  </si>
  <si>
    <t>EQUATION</t>
  </si>
  <si>
    <t>Slope</t>
  </si>
  <si>
    <t>Constant</t>
  </si>
  <si>
    <t>R2</t>
  </si>
  <si>
    <t>V pred LL</t>
  </si>
  <si>
    <t>V pred UL</t>
  </si>
  <si>
    <t>LINEAR (con celdas vacías)</t>
  </si>
  <si>
    <t>LINEAR (con celdas #N/D)</t>
  </si>
  <si>
    <t>INCLUDED</t>
  </si>
  <si>
    <t>PREDICTED</t>
  </si>
  <si>
    <t>DISCARDED</t>
  </si>
  <si>
    <t>Source</t>
  </si>
  <si>
    <t>Yes?</t>
  </si>
  <si>
    <t>STEP 1</t>
  </si>
  <si>
    <t>STEP 2</t>
  </si>
  <si>
    <t>STEP 3</t>
  </si>
  <si>
    <t>Diff Threshold</t>
  </si>
  <si>
    <t>Abs diff Threshold</t>
  </si>
  <si>
    <t>Use it</t>
  </si>
  <si>
    <t>THRESHOLD</t>
  </si>
  <si>
    <t>STEP 4</t>
  </si>
  <si>
    <t>HYBRID EQUATION</t>
  </si>
  <si>
    <t>a</t>
  </si>
  <si>
    <t>b</t>
  </si>
  <si>
    <t>Smooth</t>
  </si>
  <si>
    <t>k</t>
  </si>
  <si>
    <t>V0</t>
  </si>
  <si>
    <t>V0 linear</t>
  </si>
  <si>
    <t>Lower limit</t>
  </si>
  <si>
    <t>Upper limit</t>
  </si>
  <si>
    <t>Starting</t>
  </si>
  <si>
    <t>Result</t>
  </si>
  <si>
    <t>V0%</t>
  </si>
  <si>
    <t>Vopt linear</t>
  </si>
  <si>
    <t>SEE</t>
  </si>
  <si>
    <t>COMPARISON</t>
  </si>
  <si>
    <t>V measured</t>
  </si>
  <si>
    <t>V predicted</t>
  </si>
  <si>
    <t>Diff sq</t>
  </si>
  <si>
    <t>SE</t>
  </si>
  <si>
    <t>V0 lin</t>
  </si>
  <si>
    <t>V LL</t>
  </si>
  <si>
    <t>V UL</t>
  </si>
  <si>
    <t>Vopt lin</t>
  </si>
  <si>
    <t>%V0</t>
  </si>
  <si>
    <t>%Pmax</t>
  </si>
  <si>
    <t>%V0 pred</t>
  </si>
  <si>
    <t>%V0 pred LL</t>
  </si>
  <si>
    <t>%V0 pred UL</t>
  </si>
  <si>
    <t>%Pmax pred</t>
  </si>
  <si>
    <t>%Pmax pred LL</t>
  </si>
  <si>
    <t>%Pmax pred UL</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</si>
  <si>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</si>
  <si>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</si>
  <si>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</si>
  <si>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</si>
  <si>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</si>
  <si>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</si>
  <si>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</si>
  <si>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</si>
  <si>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</si>
  <si>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</si>
  <si>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</si>
  <si>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</si>
  <si>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</si>
  <si>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</si>
  <si>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</si>
  <si>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</si>
  <si>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</si>
  <si>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</si>
  <si>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</si>
  <si>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</si>
  <si>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</si>
  <si>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</si>
  <si>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</si>
  <si>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</si>
  <si>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</si>
  <si>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</si>
  <si>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</si>
  <si>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</si>
  <si>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</si>
  <si>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</si>
  <si>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</si>
  <si>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</si>
  <si>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</si>
  <si>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</si>
  <si>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</si>
  <si>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</si>
  <si>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</si>
  <si>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</si>
  <si>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</si>
  <si>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</si>
  <si>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</si>
  <si>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</si>
  <si>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</si>
  <si>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</si>
  <si>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</si>
  <si>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</si>
  <si>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</si>
  <si>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</si>
  <si>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</si>
  <si>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</si>
  <si>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</si>
  <si>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</si>
  <si>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</si>
  <si>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</si>
  <si>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</si>
  <si>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TYPE OF ANALYSIS</t>
  </si>
  <si>
    <t>Pos change</t>
  </si>
  <si>
    <t>Neg. Change</t>
  </si>
  <si>
    <t>V_Hill</t>
  </si>
  <si>
    <t>V Hill</t>
  </si>
  <si>
    <t>Adjust Hill for F &lt; [¿?% F0]</t>
  </si>
  <si>
    <t>SEE Hill</t>
  </si>
  <si>
    <t>Activated</t>
  </si>
  <si>
    <t>Weights</t>
  </si>
  <si>
    <t>Hill</t>
  </si>
  <si>
    <t>Solver</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</si>
  <si>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</si>
  <si>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</si>
  <si>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</si>
  <si>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</si>
  <si>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</si>
  <si>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</si>
  <si>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</si>
  <si>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</si>
  <si>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</si>
  <si>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</si>
  <si>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</si>
  <si>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</si>
  <si>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</si>
  <si>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</si>
  <si>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</si>
  <si>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</si>
  <si>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</si>
  <si>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</si>
  <si>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</si>
  <si>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</si>
  <si>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</si>
  <si>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</si>
  <si>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</si>
  <si>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</si>
  <si>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</si>
  <si>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</si>
  <si>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</si>
  <si>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</si>
  <si>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</si>
  <si>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</si>
  <si>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</si>
  <si>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</si>
  <si>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</si>
  <si>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</si>
  <si>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</si>
  <si>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</si>
  <si>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</si>
  <si>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</si>
  <si>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</si>
  <si>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</si>
  <si>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</si>
  <si>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</si>
  <si>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</si>
  <si>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</si>
  <si>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</si>
  <si>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</si>
  <si>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</si>
  <si>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</si>
  <si>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</si>
  <si>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</si>
  <si>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</si>
  <si>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</si>
  <si>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</si>
  <si>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</si>
  <si>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</si>
  <si>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</si>
  <si>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</si>
  <si>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</si>
  <si>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</si>
  <si>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</si>
  <si>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</si>
  <si>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</si>
  <si>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</si>
  <si>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</si>
  <si>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</si>
  <si>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</si>
  <si>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</si>
  <si>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</si>
  <si>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</si>
  <si>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</si>
  <si>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Calculate external load / velocity for training:</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</si>
  <si>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</si>
  <si>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</si>
  <si>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</si>
  <si>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</si>
  <si>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External load (kg)*</t>
  </si>
  <si>
    <t xml:space="preserve"> Load (kg)</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</si>
  <si>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</si>
  <si>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</si>
  <si>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</si>
  <si>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</si>
  <si>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</si>
  <si>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</si>
  <si>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</si>
  <si>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</si>
  <si>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</si>
  <si>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</si>
  <si>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</si>
  <si>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 xml:space="preserve"> Total Load (kg)</t>
  </si>
  <si>
    <r>
      <rPr>
        <b/>
        <vertAlign val="subscript"/>
        <sz val="18"/>
        <color theme="0"/>
        <rFont val="Arial Narrow"/>
        <family val="2"/>
      </rPr>
      <t>L0</t>
    </r>
    <r>
      <rPr>
        <b/>
        <sz val="18"/>
        <color theme="0"/>
        <rFont val="Arial Narrow"/>
        <family val="2"/>
      </rPr>
      <t xml:space="preserve"> (%)</t>
    </r>
  </si>
  <si>
    <r>
      <t>Momentum (kg·m·s</t>
    </r>
    <r>
      <rPr>
        <b/>
        <vertAlign val="superscript"/>
        <sz val="12"/>
        <color theme="0"/>
        <rFont val="Arial Narrow"/>
        <family val="2"/>
      </rPr>
      <t>-1</t>
    </r>
    <r>
      <rPr>
        <b/>
        <sz val="12"/>
        <color theme="0"/>
        <rFont val="Arial Narrow"/>
        <family val="2"/>
      </rPr>
      <t>)</t>
    </r>
  </si>
  <si>
    <t>L0</t>
  </si>
  <si>
    <t>Hmax</t>
  </si>
  <si>
    <r>
      <t>H</t>
    </r>
    <r>
      <rPr>
        <b/>
        <vertAlign val="subscript"/>
        <sz val="18"/>
        <color theme="0"/>
        <rFont val="Arial Narrow"/>
        <family val="2"/>
      </rPr>
      <t>max</t>
    </r>
  </si>
  <si>
    <t>Lopt</t>
  </si>
  <si>
    <r>
      <t>L</t>
    </r>
    <r>
      <rPr>
        <b/>
        <vertAlign val="subscript"/>
        <sz val="18"/>
        <color theme="0"/>
        <rFont val="Arial Narrow"/>
        <family val="2"/>
      </rPr>
      <t>opt</t>
    </r>
  </si>
  <si>
    <r>
      <t xml:space="preserve">LV </t>
    </r>
    <r>
      <rPr>
        <b/>
        <vertAlign val="subscript"/>
        <sz val="18"/>
        <color theme="0"/>
        <rFont val="Arial Narrow"/>
        <family val="2"/>
      </rPr>
      <t>slope</t>
    </r>
  </si>
  <si>
    <r>
      <t>a / L</t>
    </r>
    <r>
      <rPr>
        <b/>
        <vertAlign val="subscript"/>
        <sz val="18"/>
        <color theme="0"/>
        <rFont val="Arial Narrow"/>
        <family val="2"/>
      </rPr>
      <t>0</t>
    </r>
    <r>
      <rPr>
        <b/>
        <sz val="18"/>
        <color theme="0"/>
        <rFont val="Arial Narrow"/>
        <family val="2"/>
      </rPr>
      <t>*</t>
    </r>
  </si>
  <si>
    <t>Load (kg)</t>
  </si>
  <si>
    <t>kg</t>
  </si>
  <si>
    <r>
      <t>kg·m·s</t>
    </r>
    <r>
      <rPr>
        <vertAlign val="superscript"/>
        <sz val="16"/>
        <color theme="1"/>
        <rFont val="Arial Narrow"/>
        <family val="2"/>
      </rPr>
      <t>-1</t>
    </r>
  </si>
  <si>
    <t>L</t>
  </si>
  <si>
    <t>H</t>
  </si>
  <si>
    <t>H pred</t>
  </si>
  <si>
    <t>H pred LL</t>
  </si>
  <si>
    <t>H pred UL</t>
  </si>
  <si>
    <t>L0%</t>
  </si>
  <si>
    <t>Hmax%</t>
  </si>
  <si>
    <t>H LL</t>
  </si>
  <si>
    <t>H UL</t>
  </si>
  <si>
    <t>H0 lin</t>
  </si>
  <si>
    <t>%H0 lin</t>
  </si>
  <si>
    <t>Momentum</t>
  </si>
  <si>
    <t>%Hmax</t>
  </si>
  <si>
    <t>L0 Hill</t>
  </si>
  <si>
    <t>Hmax lin</t>
  </si>
  <si>
    <t>Lopt lin</t>
  </si>
  <si>
    <t>100% L0</t>
  </si>
  <si>
    <t>95% L0</t>
  </si>
  <si>
    <t>90% L0</t>
  </si>
  <si>
    <t>85% L0</t>
  </si>
  <si>
    <t>80% L0</t>
  </si>
  <si>
    <t>75% L0</t>
  </si>
  <si>
    <t>70% L0</t>
  </si>
  <si>
    <t>65% L0</t>
  </si>
  <si>
    <t>60% L0</t>
  </si>
  <si>
    <t>55% L0</t>
  </si>
  <si>
    <t>50% L0</t>
  </si>
  <si>
    <t>45% L0</t>
  </si>
  <si>
    <t>40% L0</t>
  </si>
  <si>
    <t>35% L0</t>
  </si>
  <si>
    <t>30% L0</t>
  </si>
  <si>
    <t>25% L0</t>
  </si>
  <si>
    <t>20% L0</t>
  </si>
  <si>
    <t>15% L0</t>
  </si>
  <si>
    <t>10% L0</t>
  </si>
  <si>
    <t>5% L0</t>
  </si>
  <si>
    <t>0% L0</t>
  </si>
  <si>
    <t>Linear equation applied to all recorded data above 45% L0.</t>
  </si>
  <si>
    <t>Linear equation applied to all recorded data above 45% L0 except those excluded based on their deviation below the expected values.</t>
  </si>
  <si>
    <t>Linear (0-100% L0)</t>
  </si>
  <si>
    <t>Linear (45-100% L0)</t>
  </si>
  <si>
    <t>Linear (45-100% L0) + Exclusion</t>
  </si>
  <si>
    <t>%L0</t>
  </si>
  <si>
    <t xml:space="preserve">L-V </t>
  </si>
  <si>
    <t>RANGE &gt;45% L0</t>
  </si>
  <si>
    <t>Lopt linear</t>
  </si>
  <si>
    <t>L (%L0)</t>
  </si>
  <si>
    <t>H-V</t>
  </si>
  <si>
    <t>Hmax linear</t>
  </si>
  <si>
    <t>H measured</t>
  </si>
  <si>
    <t>Manual Filter</t>
  </si>
  <si>
    <t>V Pred</t>
  </si>
  <si>
    <t>V Pred LL</t>
  </si>
  <si>
    <t>V Pred UL</t>
  </si>
  <si>
    <t>H Pred</t>
  </si>
  <si>
    <t>H Pred LL</t>
  </si>
  <si>
    <t>H Pred UL</t>
  </si>
  <si>
    <t>V Predicted</t>
  </si>
  <si>
    <t>H predicted</t>
  </si>
  <si>
    <t>Min_L(%L0)_included</t>
  </si>
  <si>
    <t>Max_L(%L0)_included</t>
  </si>
  <si>
    <t>Range_L_included</t>
  </si>
  <si>
    <t>LVslope</t>
  </si>
  <si>
    <t>a/L0*</t>
  </si>
  <si>
    <t>L0*</t>
  </si>
  <si>
    <t>Hmax_lin</t>
  </si>
  <si>
    <t>Hopt_lin</t>
  </si>
  <si>
    <t>L0_lin_all</t>
  </si>
  <si>
    <t>Hmax_lin_all</t>
  </si>
  <si>
    <t>Lopt_lin_all</t>
  </si>
  <si>
    <t>LVslope_lin_all</t>
  </si>
  <si>
    <t>ISO_L</t>
  </si>
  <si>
    <t>Load1_L</t>
  </si>
  <si>
    <t>Load2_L</t>
  </si>
  <si>
    <t>Load3_L</t>
  </si>
  <si>
    <t>Load4_L</t>
  </si>
  <si>
    <t>Load5_L</t>
  </si>
  <si>
    <t>Load6_L</t>
  </si>
  <si>
    <t>Load7_L</t>
  </si>
  <si>
    <t>Load8_L</t>
  </si>
  <si>
    <t>Load9_L</t>
  </si>
  <si>
    <t>Load10_L</t>
  </si>
  <si>
    <t>Load11_L</t>
  </si>
  <si>
    <t>Load12_L</t>
  </si>
  <si>
    <t>Load13_L</t>
  </si>
  <si>
    <t>Load14_L</t>
  </si>
  <si>
    <r>
      <rPr>
        <b/>
        <sz val="18"/>
        <color theme="0"/>
        <rFont val="Arial Narrow"/>
        <family val="2"/>
      </rPr>
      <t>L</t>
    </r>
    <r>
      <rPr>
        <b/>
        <vertAlign val="subscript"/>
        <sz val="18"/>
        <color theme="0"/>
        <rFont val="Arial Narrow"/>
        <family val="2"/>
      </rPr>
      <t>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</si>
</sst>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41"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
      <b/>
      <sz val="12"/>
      <color theme="0"/>
      <name val="Arial Narrow"/>
      <family val="2"/>
    </font>
    <font>
      <b/>
      <vertAlign val="superscript"/>
      <sz val="12"/>
      <color theme="0"/>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3">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2" borderId="0" xfId="0" applyFont="1" applyFill="1" applyBorder="1" applyAlignment="1" applyProtection="1">
      <alignment horizontal="center" vertical="center"/>
      <protection locked="0"/>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0" fontId="7" fillId="5" borderId="2" xfId="0" applyFont="1" applyFill="1" applyBorder="1" applyAlignment="1" applyProtection="1">
      <alignment horizontal="center"/>
      <protection hidden="1"/>
    </xf>
    <xf numFmtId="2"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16" fillId="5" borderId="2" xfId="0" applyFont="1" applyFill="1" applyBorder="1" applyAlignment="1" applyProtection="1">
      <alignment horizontal="center"/>
      <protection hidden="1"/>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5" fillId="2" borderId="0" xfId="0" applyFont="1" applyFill="1" applyBorder="1" applyAlignment="1" applyProtection="1">
      <alignment horizontal="right" vertic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9" fillId="4" borderId="21" xfId="0" applyFont="1" applyFill="1" applyBorder="1" applyAlignment="1" applyProtection="1">
      <alignment horizontal="left" vertical="center"/>
      <protection hidden="1"/>
    </xf>
    <xf numFmtId="0" fontId="39"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1" xfId="0" applyFont="1" applyFill="1" applyBorder="1" applyAlignment="1" applyProtection="1">
      <alignment horizontal="left" vertical="center"/>
      <protection hidden="1"/>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Load (kg)</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Momentum (kg·m·s</a:t>
                </a:r>
                <a:r>
                  <a:rPr lang="en-US" sz="1400" baseline="30000">
                    <a:solidFill>
                      <a:schemeClr val="tx1"/>
                    </a:solidFill>
                  </a:rPr>
                  <a:t>-1</a:t>
                </a:r>
                <a:r>
                  <a:rPr lang="en-US" sz="1400">
                    <a:solidFill>
                      <a:schemeClr val="tx1"/>
                    </a:solidFill>
                  </a:rPr>
                  <a:t>)</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Load (%L</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677333</xdr:colOff>
      <xdr:row>26</xdr:row>
      <xdr:rowOff>46566</xdr:rowOff>
    </xdr:from>
    <xdr:to>
      <xdr:col>11</xdr:col>
      <xdr:colOff>480971</xdr:colOff>
      <xdr:row>36</xdr:row>
      <xdr:rowOff>127652</xdr:rowOff>
    </xdr:to>
    <xdr:grpSp>
      <xdr:nvGrpSpPr>
        <xdr:cNvPr id="28" name="Grupo 27">
          <a:extLst>
            <a:ext uri="{FF2B5EF4-FFF2-40B4-BE49-F238E27FC236}">
              <a16:creationId xmlns:a16="http://schemas.microsoft.com/office/drawing/2014/main" id="{00000000-0008-0000-0000-00001C000000}"/>
            </a:ext>
          </a:extLst>
        </xdr:cNvPr>
        <xdr:cNvGrpSpPr/>
      </xdr:nvGrpSpPr>
      <xdr:grpSpPr>
        <a:xfrm>
          <a:off x="3159276" y="4858052"/>
          <a:ext cx="6422152" cy="1931657"/>
          <a:chOff x="3134946" y="4792458"/>
          <a:chExt cx="6407638" cy="1901419"/>
        </a:xfrm>
      </xdr:grpSpPr>
      <xdr:grpSp>
        <xdr:nvGrpSpPr>
          <xdr:cNvPr id="29" name="Grupo 28">
            <a:extLst>
              <a:ext uri="{FF2B5EF4-FFF2-40B4-BE49-F238E27FC236}">
                <a16:creationId xmlns:a16="http://schemas.microsoft.com/office/drawing/2014/main" id="{00000000-0008-0000-0000-00001D000000}"/>
              </a:ext>
            </a:extLst>
          </xdr:cNvPr>
          <xdr:cNvGrpSpPr/>
        </xdr:nvGrpSpPr>
        <xdr:grpSpPr>
          <a:xfrm>
            <a:off x="3134946" y="4792458"/>
            <a:ext cx="6407638" cy="1901419"/>
            <a:chOff x="63501" y="4745566"/>
            <a:chExt cx="6407638" cy="1872111"/>
          </a:xfrm>
        </xdr:grpSpPr>
        <xdr:sp macro="" textlink="">
          <xdr:nvSpPr>
            <xdr:cNvPr id="32" name="Rectángulo 31">
              <a:extLst>
                <a:ext uri="{FF2B5EF4-FFF2-40B4-BE49-F238E27FC236}">
                  <a16:creationId xmlns:a16="http://schemas.microsoft.com/office/drawing/2014/main" id="{00000000-0008-0000-0000-000020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37" name="Imagen 36" descr="How to show, hide and restore missing ribbon in Excel">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Imagen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30" name="Elipse 29">
            <a:extLst>
              <a:ext uri="{FF2B5EF4-FFF2-40B4-BE49-F238E27FC236}">
                <a16:creationId xmlns:a16="http://schemas.microsoft.com/office/drawing/2014/main" id="{00000000-0008-0000-0000-00001E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275492</xdr:colOff>
      <xdr:row>21</xdr:row>
      <xdr:rowOff>29308</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52723" cy="3243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6:A35"/>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6" s="135" customFormat="1" x14ac:dyDescent="0.55000000000000004"/>
    <row r="27" s="135" customFormat="1" x14ac:dyDescent="0.55000000000000004"/>
    <row r="28" s="135" customFormat="1" x14ac:dyDescent="0.55000000000000004"/>
    <row r="29" s="135" customFormat="1" x14ac:dyDescent="0.55000000000000004"/>
    <row r="30" s="135" customFormat="1" x14ac:dyDescent="0.55000000000000004"/>
    <row r="31" s="135" customFormat="1" x14ac:dyDescent="0.55000000000000004"/>
    <row r="32" s="135" customFormat="1" x14ac:dyDescent="0.55000000000000004"/>
    <row r="33" s="135" customFormat="1" x14ac:dyDescent="0.55000000000000004"/>
    <row r="34" s="135" customFormat="1" x14ac:dyDescent="0.55000000000000004"/>
    <row r="35" s="135" customFormat="1" x14ac:dyDescent="0.55000000000000004"/>
  </sheetData>
  <sheetProtection algorithmName="SHA-512" hashValue="0WZSXrLNh7V9LqK9McDLCqb2+cAI4wgo4tY98XCcaj12H5RsZMHX8xt/0cEcvdh/YjiF5IvW5EU6pKnMKkiT5g==" saltValue="ygKDrF5UgIyY5Ur5px+Lyg=="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2</v>
      </c>
      <c r="B1" s="50"/>
      <c r="C1" s="11" t="s">
        <v>12</v>
      </c>
      <c r="D1" s="149"/>
      <c r="E1" s="149"/>
      <c r="F1" s="149"/>
      <c r="G1" s="11" t="s">
        <v>3</v>
      </c>
      <c r="H1" s="149"/>
      <c r="I1" s="149"/>
      <c r="J1" s="150" t="s">
        <v>153</v>
      </c>
      <c r="K1" s="150"/>
      <c r="L1" s="50"/>
      <c r="M1" s="150" t="s">
        <v>232</v>
      </c>
      <c r="N1" s="150"/>
      <c r="O1" s="150"/>
      <c r="P1" s="50"/>
      <c r="Q1" s="150" t="s">
        <v>216</v>
      </c>
      <c r="R1" s="150"/>
      <c r="S1" s="150"/>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205" t="s">
        <v>235</v>
      </c>
      <c r="B3" s="205"/>
      <c r="C3" s="19" t="s">
        <v>10</v>
      </c>
      <c r="D3" s="187"/>
      <c r="E3" s="188"/>
      <c r="F3" s="182" t="s">
        <v>11</v>
      </c>
      <c r="G3" s="182"/>
      <c r="H3" s="173"/>
      <c r="I3" s="174"/>
      <c r="J3" s="182" t="s">
        <v>136</v>
      </c>
      <c r="K3" s="182"/>
      <c r="L3" s="179"/>
      <c r="M3" s="180"/>
      <c r="N3" s="180"/>
      <c r="O3" s="180"/>
      <c r="P3" s="180"/>
      <c r="Q3" s="180"/>
      <c r="R3" s="180"/>
      <c r="S3" s="180"/>
      <c r="T3" s="180"/>
      <c r="U3" s="180"/>
      <c r="V3" s="180"/>
      <c r="W3" s="180"/>
      <c r="X3" s="180"/>
      <c r="Y3" s="180"/>
      <c r="Z3" s="180"/>
      <c r="AA3" s="180"/>
      <c r="AB3" s="181"/>
      <c r="AC3" s="20"/>
      <c r="AD3" s="20"/>
      <c r="AE3" s="20"/>
      <c r="AF3" s="20"/>
      <c r="AH3" s="12"/>
      <c r="AI3" s="12"/>
      <c r="AJ3" s="12"/>
      <c r="AK3" s="12"/>
      <c r="AL3" s="12"/>
      <c r="AM3" s="12"/>
      <c r="AN3" s="12"/>
      <c r="AO3" s="12"/>
      <c r="AP3" s="53" t="s">
        <v>50</v>
      </c>
      <c r="AR3" s="54">
        <v>0.8</v>
      </c>
      <c r="AT3" s="12" t="s">
        <v>89</v>
      </c>
    </row>
    <row r="4" spans="1:230" ht="20.100000000000001" customHeight="1" x14ac:dyDescent="0.5">
      <c r="O4" s="17"/>
      <c r="AC4" s="21"/>
      <c r="AH4" s="12"/>
      <c r="AI4" s="12"/>
      <c r="AJ4" s="12"/>
      <c r="AK4" s="12"/>
      <c r="AL4" s="12"/>
      <c r="AM4" s="12"/>
      <c r="AN4" s="12"/>
      <c r="AO4" s="12"/>
      <c r="AP4" s="55">
        <f>U19</f>
        <v>0.05</v>
      </c>
      <c r="AQ4" s="12" t="s">
        <v>4</v>
      </c>
      <c r="AR4" s="52">
        <f>AP4*AR3</f>
        <v>4.0000000000000008E-2</v>
      </c>
      <c r="AS4" s="52" t="s">
        <v>4</v>
      </c>
      <c r="CA4" s="125" t="s">
        <v>109</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208</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212" t="s">
        <v>238</v>
      </c>
      <c r="B5" s="212"/>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19</v>
      </c>
      <c r="R5" s="23"/>
      <c r="S5" s="157" t="s">
        <v>336</v>
      </c>
      <c r="T5" s="152"/>
      <c r="U5" s="156" t="s">
        <v>91</v>
      </c>
      <c r="V5" s="156"/>
      <c r="W5" s="152" t="s">
        <v>242</v>
      </c>
      <c r="X5" s="152"/>
      <c r="Y5" s="152" t="s">
        <v>244</v>
      </c>
      <c r="Z5" s="152"/>
      <c r="AA5" s="152" t="s">
        <v>13</v>
      </c>
      <c r="AB5" s="152"/>
      <c r="AC5" s="21"/>
      <c r="AH5" s="12"/>
      <c r="AI5" s="12"/>
      <c r="AJ5" s="12"/>
      <c r="AK5" s="12"/>
      <c r="AL5" s="12"/>
      <c r="AM5" s="12"/>
      <c r="AN5" s="12"/>
      <c r="AP5" s="12" t="s">
        <v>152</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2</v>
      </c>
      <c r="CB5" s="119" t="s">
        <v>12</v>
      </c>
      <c r="CC5" s="119" t="s">
        <v>3</v>
      </c>
      <c r="CD5" s="119" t="s">
        <v>107</v>
      </c>
      <c r="CE5" s="119" t="s">
        <v>108</v>
      </c>
      <c r="CF5" s="119" t="s">
        <v>230</v>
      </c>
      <c r="CG5" s="119" t="s">
        <v>9</v>
      </c>
      <c r="CH5" s="119" t="s">
        <v>110</v>
      </c>
      <c r="CI5" s="119" t="s">
        <v>111</v>
      </c>
      <c r="CJ5" s="119" t="s">
        <v>112</v>
      </c>
      <c r="CK5" s="119" t="s">
        <v>113</v>
      </c>
      <c r="CL5" s="119" t="s">
        <v>114</v>
      </c>
      <c r="CM5" s="119" t="s">
        <v>115</v>
      </c>
      <c r="CN5" s="119" t="s">
        <v>309</v>
      </c>
      <c r="CO5" s="119" t="s">
        <v>310</v>
      </c>
      <c r="CP5" s="119" t="s">
        <v>311</v>
      </c>
      <c r="CQ5" s="119" t="s">
        <v>157</v>
      </c>
      <c r="CR5" s="119" t="s">
        <v>158</v>
      </c>
      <c r="CS5" s="119" t="s">
        <v>160</v>
      </c>
      <c r="CT5" s="119" t="s">
        <v>118</v>
      </c>
      <c r="CU5" s="119" t="s">
        <v>119</v>
      </c>
      <c r="CV5" s="119" t="s">
        <v>240</v>
      </c>
      <c r="CW5" s="119" t="s">
        <v>57</v>
      </c>
      <c r="CX5" s="119" t="s">
        <v>241</v>
      </c>
      <c r="CY5" s="119" t="s">
        <v>243</v>
      </c>
      <c r="CZ5" s="119" t="s">
        <v>8</v>
      </c>
      <c r="DA5" s="119" t="s">
        <v>312</v>
      </c>
      <c r="DB5" s="119" t="s">
        <v>313</v>
      </c>
      <c r="DC5" s="119" t="s">
        <v>53</v>
      </c>
      <c r="DD5" s="119" t="s">
        <v>54</v>
      </c>
      <c r="DE5" s="119" t="s">
        <v>56</v>
      </c>
      <c r="DF5" s="119" t="s">
        <v>314</v>
      </c>
      <c r="DG5" s="119" t="s">
        <v>122</v>
      </c>
      <c r="DH5" s="119" t="s">
        <v>315</v>
      </c>
      <c r="DI5" s="119" t="s">
        <v>316</v>
      </c>
      <c r="DJ5" s="119" t="s">
        <v>125</v>
      </c>
      <c r="DK5" s="119" t="s">
        <v>34</v>
      </c>
      <c r="DL5" s="119" t="s">
        <v>70</v>
      </c>
      <c r="DM5" s="119" t="s">
        <v>65</v>
      </c>
      <c r="DN5" s="119" t="s">
        <v>317</v>
      </c>
      <c r="DO5" s="119" t="s">
        <v>127</v>
      </c>
      <c r="DP5" s="119" t="s">
        <v>318</v>
      </c>
      <c r="DQ5" s="119" t="s">
        <v>319</v>
      </c>
      <c r="DR5" s="119" t="s">
        <v>130</v>
      </c>
      <c r="DS5" s="119" t="s">
        <v>320</v>
      </c>
      <c r="DT5" s="119" t="s">
        <v>133</v>
      </c>
      <c r="DU5" s="119" t="s">
        <v>134</v>
      </c>
      <c r="DV5" s="119" t="s">
        <v>135</v>
      </c>
      <c r="DW5" s="119" t="s">
        <v>321</v>
      </c>
      <c r="DX5" s="119" t="s">
        <v>322</v>
      </c>
      <c r="DY5" s="119" t="s">
        <v>323</v>
      </c>
      <c r="DZ5" s="119" t="s">
        <v>324</v>
      </c>
      <c r="EA5" s="119" t="s">
        <v>325</v>
      </c>
      <c r="EB5" s="119" t="s">
        <v>326</v>
      </c>
      <c r="EC5" s="119" t="s">
        <v>327</v>
      </c>
      <c r="ED5" s="119" t="s">
        <v>328</v>
      </c>
      <c r="EE5" s="119" t="s">
        <v>329</v>
      </c>
      <c r="EF5" s="119" t="s">
        <v>330</v>
      </c>
      <c r="EG5" s="119" t="s">
        <v>331</v>
      </c>
      <c r="EH5" s="119" t="s">
        <v>332</v>
      </c>
      <c r="EI5" s="119" t="s">
        <v>333</v>
      </c>
      <c r="EJ5" s="119" t="s">
        <v>334</v>
      </c>
      <c r="EK5" s="119" t="s">
        <v>335</v>
      </c>
      <c r="EL5" s="119" t="s">
        <v>167</v>
      </c>
      <c r="EM5" s="119" t="s">
        <v>162</v>
      </c>
      <c r="EN5" s="119" t="s">
        <v>181</v>
      </c>
      <c r="EO5" s="119" t="s">
        <v>182</v>
      </c>
      <c r="EP5" s="119" t="s">
        <v>183</v>
      </c>
      <c r="EQ5" s="119" t="s">
        <v>184</v>
      </c>
      <c r="ER5" s="119" t="s">
        <v>185</v>
      </c>
      <c r="ES5" s="119" t="s">
        <v>186</v>
      </c>
      <c r="ET5" s="119" t="s">
        <v>187</v>
      </c>
      <c r="EU5" s="119" t="s">
        <v>188</v>
      </c>
      <c r="EV5" s="119" t="s">
        <v>189</v>
      </c>
      <c r="EW5" s="119" t="s">
        <v>190</v>
      </c>
      <c r="EX5" s="119" t="s">
        <v>191</v>
      </c>
      <c r="EY5" s="119" t="s">
        <v>192</v>
      </c>
      <c r="EZ5" s="119" t="s">
        <v>193</v>
      </c>
      <c r="FA5" s="119" t="s">
        <v>194</v>
      </c>
      <c r="FB5" s="119" t="s">
        <v>163</v>
      </c>
      <c r="FC5" s="119" t="s">
        <v>195</v>
      </c>
      <c r="FD5" s="119" t="s">
        <v>196</v>
      </c>
      <c r="FE5" s="119" t="s">
        <v>197</v>
      </c>
      <c r="FF5" s="119" t="s">
        <v>198</v>
      </c>
      <c r="FG5" s="119" t="s">
        <v>199</v>
      </c>
      <c r="FH5" s="119" t="s">
        <v>200</v>
      </c>
      <c r="FI5" s="119" t="s">
        <v>201</v>
      </c>
      <c r="FJ5" s="119" t="s">
        <v>202</v>
      </c>
      <c r="FK5" s="119" t="s">
        <v>203</v>
      </c>
      <c r="FL5" s="119" t="s">
        <v>204</v>
      </c>
      <c r="FM5" s="119" t="s">
        <v>205</v>
      </c>
      <c r="FN5" s="119" t="s">
        <v>206</v>
      </c>
      <c r="FO5" s="119" t="s">
        <v>207</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210" t="s">
        <v>225</v>
      </c>
      <c r="B6" s="211"/>
      <c r="C6" s="9"/>
      <c r="D6" s="9"/>
      <c r="E6" s="9"/>
      <c r="F6" s="9"/>
      <c r="G6" s="9"/>
      <c r="H6" s="9"/>
      <c r="I6" s="9"/>
      <c r="J6" s="9"/>
      <c r="K6" s="9"/>
      <c r="L6" s="9"/>
      <c r="M6" s="9"/>
      <c r="N6" s="9"/>
      <c r="O6" s="9"/>
      <c r="P6" s="9"/>
      <c r="Q6" s="9"/>
      <c r="S6" s="175" t="e">
        <f>U64</f>
        <v>#DIV/0!</v>
      </c>
      <c r="T6" s="176"/>
      <c r="U6" s="183" t="e">
        <f>U66</f>
        <v>#DIV/0!</v>
      </c>
      <c r="V6" s="184"/>
      <c r="W6" s="175" t="e">
        <f>U67</f>
        <v>#DIV/0!</v>
      </c>
      <c r="X6" s="176"/>
      <c r="Y6" s="175" t="e">
        <f>U68</f>
        <v>#DIV/0!</v>
      </c>
      <c r="Z6" s="176"/>
      <c r="AA6" s="183" t="e">
        <f>U69</f>
        <v>#DIV/0!</v>
      </c>
      <c r="AB6" s="184"/>
      <c r="AC6" s="21"/>
      <c r="AH6" s="12"/>
      <c r="AI6" s="12"/>
      <c r="AJ6" s="12"/>
      <c r="AK6" s="12"/>
      <c r="AL6" s="12"/>
      <c r="AM6" s="12"/>
      <c r="AN6" s="12"/>
      <c r="AO6" s="12" t="s">
        <v>44</v>
      </c>
      <c r="AP6" s="60" t="s">
        <v>37</v>
      </c>
      <c r="AS6" s="52" t="s">
        <v>89</v>
      </c>
      <c r="BI6" s="60" t="s">
        <v>38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L0.</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208" t="s">
        <v>237</v>
      </c>
      <c r="B7" s="209"/>
      <c r="C7" s="24" t="str">
        <f t="shared" ref="C7:P7" si="4">IF(C$6="","",(C6+(($L1+$P$1)*SIN(($T$1*PI())/180)))*1)</f>
        <v/>
      </c>
      <c r="D7" s="24" t="str">
        <f t="shared" si="4"/>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7"/>
      <c r="T7" s="178"/>
      <c r="U7" s="185"/>
      <c r="V7" s="186"/>
      <c r="W7" s="177"/>
      <c r="X7" s="178"/>
      <c r="Y7" s="177"/>
      <c r="Z7" s="178"/>
      <c r="AA7" s="185"/>
      <c r="AB7" s="186"/>
      <c r="AC7" s="21"/>
      <c r="AH7" s="12"/>
      <c r="AI7" s="12"/>
      <c r="AJ7" s="12"/>
      <c r="AK7" s="12"/>
      <c r="AL7" s="12"/>
      <c r="AM7" s="12"/>
      <c r="AN7" s="12"/>
      <c r="AO7" s="12"/>
      <c r="AP7" s="59"/>
      <c r="AQ7" s="59"/>
      <c r="AR7" s="63" t="s">
        <v>19</v>
      </c>
      <c r="AS7" s="63" t="s">
        <v>21</v>
      </c>
      <c r="AT7" s="63" t="s">
        <v>22</v>
      </c>
      <c r="AU7" s="63" t="s">
        <v>23</v>
      </c>
      <c r="AV7" s="63" t="s">
        <v>24</v>
      </c>
      <c r="AW7" s="63" t="s">
        <v>25</v>
      </c>
      <c r="AX7" s="63" t="s">
        <v>26</v>
      </c>
      <c r="AY7" s="63" t="s">
        <v>27</v>
      </c>
      <c r="AZ7" s="63" t="s">
        <v>28</v>
      </c>
      <c r="BA7" s="63" t="s">
        <v>29</v>
      </c>
      <c r="BB7" s="63" t="s">
        <v>84</v>
      </c>
      <c r="BC7" s="63" t="s">
        <v>85</v>
      </c>
      <c r="BD7" s="63" t="s">
        <v>86</v>
      </c>
      <c r="BE7" s="63" t="s">
        <v>87</v>
      </c>
      <c r="BF7" s="63" t="s">
        <v>88</v>
      </c>
      <c r="BI7" s="59"/>
      <c r="BJ7" s="59"/>
      <c r="BK7" s="63" t="s">
        <v>19</v>
      </c>
      <c r="BL7" s="63" t="s">
        <v>21</v>
      </c>
      <c r="BM7" s="63" t="s">
        <v>22</v>
      </c>
      <c r="BN7" s="63" t="s">
        <v>23</v>
      </c>
      <c r="BO7" s="63" t="s">
        <v>24</v>
      </c>
      <c r="BP7" s="63" t="s">
        <v>25</v>
      </c>
      <c r="BQ7" s="63" t="s">
        <v>26</v>
      </c>
      <c r="BR7" s="63" t="s">
        <v>27</v>
      </c>
      <c r="BS7" s="63" t="s">
        <v>28</v>
      </c>
      <c r="BT7" s="63" t="s">
        <v>29</v>
      </c>
      <c r="BU7" s="63" t="s">
        <v>84</v>
      </c>
      <c r="BV7" s="63" t="s">
        <v>85</v>
      </c>
      <c r="BW7" s="63" t="s">
        <v>86</v>
      </c>
      <c r="BX7" s="63" t="s">
        <v>87</v>
      </c>
      <c r="BY7" s="63" t="s">
        <v>88</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7"/>
      <c r="T8" s="178"/>
      <c r="U8" s="185"/>
      <c r="V8" s="186"/>
      <c r="W8" s="177"/>
      <c r="X8" s="178"/>
      <c r="Y8" s="177"/>
      <c r="Z8" s="178"/>
      <c r="AA8" s="185"/>
      <c r="AB8" s="186"/>
      <c r="AC8" s="21"/>
      <c r="AE8" s="12"/>
      <c r="AH8" s="12"/>
      <c r="AI8" s="12"/>
      <c r="AJ8" s="12"/>
      <c r="AK8" s="12"/>
      <c r="AL8" s="12"/>
      <c r="AM8" s="12"/>
      <c r="AN8" s="12"/>
      <c r="AO8" s="12"/>
      <c r="AP8" s="65" t="s">
        <v>292</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292</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2</v>
      </c>
      <c r="CB8" s="119" t="s">
        <v>12</v>
      </c>
      <c r="CC8" s="119" t="s">
        <v>3</v>
      </c>
      <c r="CD8" s="119" t="s">
        <v>107</v>
      </c>
      <c r="CE8" s="119" t="s">
        <v>108</v>
      </c>
      <c r="CF8" s="119" t="s">
        <v>233</v>
      </c>
      <c r="CG8" s="119" t="s">
        <v>9</v>
      </c>
      <c r="CH8" s="121" t="s">
        <v>110</v>
      </c>
      <c r="CI8" s="119" t="s">
        <v>111</v>
      </c>
      <c r="CJ8" s="119" t="s">
        <v>112</v>
      </c>
      <c r="CK8" s="119" t="s">
        <v>113</v>
      </c>
      <c r="CL8" s="119" t="s">
        <v>114</v>
      </c>
      <c r="CM8" s="119" t="s">
        <v>115</v>
      </c>
      <c r="CN8" s="119" t="s">
        <v>155</v>
      </c>
      <c r="CO8" s="119" t="s">
        <v>156</v>
      </c>
      <c r="CP8" s="119" t="s">
        <v>159</v>
      </c>
      <c r="CQ8" s="119" t="s">
        <v>157</v>
      </c>
      <c r="CR8" s="119" t="s">
        <v>158</v>
      </c>
      <c r="CS8" s="119" t="s">
        <v>160</v>
      </c>
      <c r="CT8" s="119" t="s">
        <v>118</v>
      </c>
      <c r="CU8" s="119" t="s">
        <v>119</v>
      </c>
      <c r="CV8" s="119" t="s">
        <v>1</v>
      </c>
      <c r="CW8" s="119" t="s">
        <v>57</v>
      </c>
      <c r="CX8" s="119" t="s">
        <v>0</v>
      </c>
      <c r="CY8" s="119" t="s">
        <v>7</v>
      </c>
      <c r="CZ8" s="119" t="s">
        <v>8</v>
      </c>
      <c r="DA8" s="119" t="s">
        <v>132</v>
      </c>
      <c r="DB8" s="119" t="s">
        <v>120</v>
      </c>
      <c r="DC8" s="119" t="s">
        <v>53</v>
      </c>
      <c r="DD8" s="119" t="s">
        <v>54</v>
      </c>
      <c r="DE8" s="119" t="s">
        <v>56</v>
      </c>
      <c r="DF8" s="119" t="s">
        <v>121</v>
      </c>
      <c r="DG8" s="119" t="s">
        <v>122</v>
      </c>
      <c r="DH8" s="119" t="s">
        <v>123</v>
      </c>
      <c r="DI8" s="119" t="s">
        <v>124</v>
      </c>
      <c r="DJ8" s="119" t="s">
        <v>125</v>
      </c>
      <c r="DK8" s="119" t="s">
        <v>34</v>
      </c>
      <c r="DL8" s="119" t="s">
        <v>70</v>
      </c>
      <c r="DM8" s="119" t="s">
        <v>65</v>
      </c>
      <c r="DN8" s="119" t="s">
        <v>126</v>
      </c>
      <c r="DO8" s="119" t="s">
        <v>127</v>
      </c>
      <c r="DP8" s="119" t="s">
        <v>128</v>
      </c>
      <c r="DQ8" s="119" t="s">
        <v>129</v>
      </c>
      <c r="DR8" s="119" t="s">
        <v>130</v>
      </c>
      <c r="DS8" s="119" t="s">
        <v>131</v>
      </c>
      <c r="DT8" s="119" t="s">
        <v>133</v>
      </c>
      <c r="DU8" s="119" t="s">
        <v>134</v>
      </c>
      <c r="DV8" s="119" t="s">
        <v>135</v>
      </c>
      <c r="DW8" s="119" t="s">
        <v>166</v>
      </c>
      <c r="DX8" s="119" t="s">
        <v>161</v>
      </c>
      <c r="DY8" s="119" t="s">
        <v>168</v>
      </c>
      <c r="DZ8" s="119" t="s">
        <v>169</v>
      </c>
      <c r="EA8" s="119" t="s">
        <v>170</v>
      </c>
      <c r="EB8" s="119" t="s">
        <v>171</v>
      </c>
      <c r="EC8" s="119" t="s">
        <v>172</v>
      </c>
      <c r="ED8" s="119" t="s">
        <v>173</v>
      </c>
      <c r="EE8" s="119" t="s">
        <v>174</v>
      </c>
      <c r="EF8" s="119" t="s">
        <v>175</v>
      </c>
      <c r="EG8" s="119" t="s">
        <v>176</v>
      </c>
      <c r="EH8" s="119" t="s">
        <v>177</v>
      </c>
      <c r="EI8" s="119" t="s">
        <v>178</v>
      </c>
      <c r="EJ8" s="119" t="s">
        <v>179</v>
      </c>
      <c r="EK8" s="119" t="s">
        <v>180</v>
      </c>
      <c r="EL8" s="119" t="s">
        <v>167</v>
      </c>
      <c r="EM8" s="119" t="s">
        <v>162</v>
      </c>
      <c r="EN8" s="119" t="s">
        <v>181</v>
      </c>
      <c r="EO8" s="119" t="s">
        <v>182</v>
      </c>
      <c r="EP8" s="119" t="s">
        <v>183</v>
      </c>
      <c r="EQ8" s="119" t="s">
        <v>184</v>
      </c>
      <c r="ER8" s="119" t="s">
        <v>185</v>
      </c>
      <c r="ES8" s="119" t="s">
        <v>186</v>
      </c>
      <c r="ET8" s="119" t="s">
        <v>187</v>
      </c>
      <c r="EU8" s="119" t="s">
        <v>188</v>
      </c>
      <c r="EV8" s="119" t="s">
        <v>189</v>
      </c>
      <c r="EW8" s="119" t="s">
        <v>190</v>
      </c>
      <c r="EX8" s="119" t="s">
        <v>191</v>
      </c>
      <c r="EY8" s="119" t="s">
        <v>192</v>
      </c>
      <c r="EZ8" s="119" t="s">
        <v>193</v>
      </c>
      <c r="FA8" s="119" t="s">
        <v>194</v>
      </c>
      <c r="FB8" s="119" t="s">
        <v>163</v>
      </c>
      <c r="FC8" s="119" t="s">
        <v>195</v>
      </c>
      <c r="FD8" s="119" t="s">
        <v>196</v>
      </c>
      <c r="FE8" s="119" t="s">
        <v>197</v>
      </c>
      <c r="FF8" s="119" t="s">
        <v>198</v>
      </c>
      <c r="FG8" s="119" t="s">
        <v>199</v>
      </c>
      <c r="FH8" s="119" t="s">
        <v>200</v>
      </c>
      <c r="FI8" s="119" t="s">
        <v>201</v>
      </c>
      <c r="FJ8" s="119" t="s">
        <v>202</v>
      </c>
      <c r="FK8" s="119" t="s">
        <v>203</v>
      </c>
      <c r="FL8" s="119" t="s">
        <v>204</v>
      </c>
      <c r="FM8" s="119" t="s">
        <v>205</v>
      </c>
      <c r="FN8" s="119" t="s">
        <v>206</v>
      </c>
      <c r="FO8" s="119" t="s">
        <v>207</v>
      </c>
      <c r="FP8" s="127"/>
    </row>
    <row r="9" spans="1:230" ht="25" customHeight="1" thickBot="1" x14ac:dyDescent="0.55000000000000004">
      <c r="A9" s="206" t="s">
        <v>226</v>
      </c>
      <c r="B9" s="207"/>
      <c r="C9" s="7"/>
      <c r="D9" s="7"/>
      <c r="E9" s="7"/>
      <c r="F9" s="7"/>
      <c r="G9" s="7"/>
      <c r="H9" s="7"/>
      <c r="I9" s="7"/>
      <c r="J9" s="7"/>
      <c r="K9" s="7"/>
      <c r="L9" s="7"/>
      <c r="M9" s="7"/>
      <c r="N9" s="7"/>
      <c r="O9" s="7"/>
      <c r="P9" s="7"/>
      <c r="Q9" s="8"/>
      <c r="S9" s="158" t="s">
        <v>248</v>
      </c>
      <c r="T9" s="159"/>
      <c r="U9" s="158" t="s">
        <v>231</v>
      </c>
      <c r="V9" s="159"/>
      <c r="W9" s="158" t="s">
        <v>249</v>
      </c>
      <c r="X9" s="159"/>
      <c r="Y9" s="158" t="s">
        <v>248</v>
      </c>
      <c r="Z9" s="159"/>
      <c r="AA9" s="158" t="s">
        <v>231</v>
      </c>
      <c r="AB9" s="159"/>
      <c r="AC9" s="21"/>
      <c r="AH9" s="12"/>
      <c r="AI9" s="12"/>
      <c r="AJ9" s="12"/>
      <c r="AK9" s="12"/>
      <c r="AL9" s="12"/>
      <c r="AM9" s="12"/>
      <c r="AN9" s="12"/>
      <c r="AO9" s="69" t="s">
        <v>42</v>
      </c>
      <c r="AP9" s="70" t="s">
        <v>250</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250</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236</v>
      </c>
      <c r="CI9" s="119" t="s">
        <v>234</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212</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209</v>
      </c>
      <c r="DX9" s="123">
        <v>0</v>
      </c>
      <c r="DY9" s="123">
        <v>294.3</v>
      </c>
      <c r="DZ9" s="123">
        <v>588.6</v>
      </c>
      <c r="EA9" s="123">
        <v>882.90000000000009</v>
      </c>
      <c r="EB9" s="123">
        <v>1177.2</v>
      </c>
      <c r="EC9" s="123" t="s">
        <v>209</v>
      </c>
      <c r="ED9" s="123" t="s">
        <v>209</v>
      </c>
      <c r="EE9" s="123" t="s">
        <v>209</v>
      </c>
      <c r="EF9" s="123" t="s">
        <v>209</v>
      </c>
      <c r="EG9" s="123" t="s">
        <v>209</v>
      </c>
      <c r="EH9" s="123" t="s">
        <v>209</v>
      </c>
      <c r="EI9" s="123" t="s">
        <v>209</v>
      </c>
      <c r="EJ9" s="123" t="s">
        <v>209</v>
      </c>
      <c r="EK9" s="123" t="s">
        <v>209</v>
      </c>
      <c r="EL9" s="119" t="s">
        <v>209</v>
      </c>
      <c r="EM9" s="119">
        <v>2</v>
      </c>
      <c r="EN9" s="119">
        <v>1.2</v>
      </c>
      <c r="EO9" s="119">
        <v>0.8</v>
      </c>
      <c r="EP9" s="119">
        <v>0.5</v>
      </c>
      <c r="EQ9" s="119">
        <v>0.3</v>
      </c>
      <c r="ER9" s="119" t="s">
        <v>209</v>
      </c>
      <c r="ES9" s="119" t="s">
        <v>209</v>
      </c>
      <c r="ET9" s="119" t="s">
        <v>209</v>
      </c>
      <c r="EU9" s="119" t="s">
        <v>209</v>
      </c>
      <c r="EV9" s="119" t="s">
        <v>209</v>
      </c>
      <c r="EW9" s="119" t="s">
        <v>209</v>
      </c>
      <c r="EX9" s="119" t="s">
        <v>209</v>
      </c>
      <c r="EY9" s="119" t="s">
        <v>209</v>
      </c>
      <c r="EZ9" s="119" t="s">
        <v>209</v>
      </c>
      <c r="FA9" s="119" t="s">
        <v>209</v>
      </c>
      <c r="FB9" s="119">
        <v>1</v>
      </c>
      <c r="FC9" s="119">
        <v>1</v>
      </c>
      <c r="FD9" s="119">
        <v>1</v>
      </c>
      <c r="FE9" s="119">
        <v>1</v>
      </c>
      <c r="FF9" s="119">
        <v>1</v>
      </c>
      <c r="FG9" s="119" t="s">
        <v>209</v>
      </c>
      <c r="FH9" s="119" t="s">
        <v>209</v>
      </c>
      <c r="FI9" s="119" t="s">
        <v>209</v>
      </c>
      <c r="FJ9" s="119" t="s">
        <v>209</v>
      </c>
      <c r="FK9" s="119" t="s">
        <v>209</v>
      </c>
      <c r="FL9" s="119" t="s">
        <v>209</v>
      </c>
      <c r="FM9" s="119" t="s">
        <v>209</v>
      </c>
      <c r="FN9" s="119" t="s">
        <v>209</v>
      </c>
      <c r="FO9" s="119" t="s">
        <v>209</v>
      </c>
      <c r="FP9" s="127"/>
    </row>
    <row r="10" spans="1:230" ht="25" customHeight="1" x14ac:dyDescent="0.65">
      <c r="A10" s="191" t="s">
        <v>227</v>
      </c>
      <c r="B10" s="192"/>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15</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16</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203" t="s">
        <v>228</v>
      </c>
      <c r="B11" s="204"/>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52" t="s">
        <v>245</v>
      </c>
      <c r="T11" s="152"/>
      <c r="U11" s="152" t="s">
        <v>246</v>
      </c>
      <c r="V11" s="152"/>
      <c r="W11" s="152" t="s">
        <v>53</v>
      </c>
      <c r="X11" s="152"/>
      <c r="Y11" s="152" t="s">
        <v>54</v>
      </c>
      <c r="Z11" s="152"/>
      <c r="AA11" s="169" t="s">
        <v>56</v>
      </c>
      <c r="AB11" s="169"/>
      <c r="AC11" s="21"/>
      <c r="AH11" s="12"/>
      <c r="AI11" s="12"/>
      <c r="AJ11" s="12"/>
      <c r="AK11" s="12"/>
      <c r="AL11" s="12"/>
      <c r="AM11" s="12"/>
      <c r="AN11" s="12"/>
      <c r="AO11" s="12"/>
      <c r="AP11" s="67" t="s">
        <v>261</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261</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93" t="s">
        <v>98</v>
      </c>
      <c r="B12" s="194"/>
      <c r="C12" s="30"/>
      <c r="D12" s="30"/>
      <c r="E12" s="30"/>
      <c r="F12" s="30"/>
      <c r="G12" s="30"/>
      <c r="H12" s="30"/>
      <c r="I12" s="30"/>
      <c r="J12" s="30"/>
      <c r="K12" s="30"/>
      <c r="L12" s="30"/>
      <c r="M12" s="30"/>
      <c r="N12" s="30"/>
      <c r="O12" s="30"/>
      <c r="P12" s="30"/>
      <c r="Q12" s="31"/>
      <c r="S12" s="151" t="e">
        <f>U65</f>
        <v>#DIV/0!</v>
      </c>
      <c r="T12" s="151"/>
      <c r="U12" s="153" t="e">
        <f>U71/U70</f>
        <v>#N/A</v>
      </c>
      <c r="V12" s="153"/>
      <c r="W12" s="151" t="e">
        <f>U71</f>
        <v>#N/A</v>
      </c>
      <c r="X12" s="151"/>
      <c r="Y12" s="154" t="e">
        <f>U72</f>
        <v>#N/A</v>
      </c>
      <c r="Z12" s="154"/>
      <c r="AA12" s="153" t="e">
        <f>U74</f>
        <v>#N/A</v>
      </c>
      <c r="AB12" s="153"/>
      <c r="AC12" s="21"/>
      <c r="AH12" s="12"/>
      <c r="AI12" s="12"/>
      <c r="AJ12" s="12"/>
      <c r="AK12" s="12"/>
      <c r="AL12" s="12"/>
      <c r="AM12" s="12"/>
      <c r="AN12" s="12"/>
      <c r="AP12" s="59" t="s">
        <v>300</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51"/>
      <c r="T13" s="151"/>
      <c r="U13" s="153"/>
      <c r="V13" s="153"/>
      <c r="W13" s="151"/>
      <c r="X13" s="151"/>
      <c r="Y13" s="154"/>
      <c r="Z13" s="154"/>
      <c r="AA13" s="153"/>
      <c r="AB13" s="153"/>
      <c r="AH13" s="12"/>
      <c r="AI13" s="12"/>
      <c r="AJ13" s="12"/>
      <c r="AK13" s="12"/>
      <c r="AL13" s="12"/>
      <c r="AM13" s="12"/>
      <c r="AN13" s="12"/>
      <c r="AO13" s="12"/>
      <c r="AP13" s="59" t="s">
        <v>49</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95" t="s">
        <v>239</v>
      </c>
      <c r="B14" s="196"/>
      <c r="C14" s="32" t="str">
        <f>IF(C9="","",C9*C7)</f>
        <v/>
      </c>
      <c r="D14" s="32" t="str">
        <f t="shared" ref="D14:P14" si="18">IF(D9="","",D9*D7)</f>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51"/>
      <c r="T14" s="151"/>
      <c r="U14" s="153"/>
      <c r="V14" s="153"/>
      <c r="W14" s="151"/>
      <c r="X14" s="151"/>
      <c r="Y14" s="154"/>
      <c r="Z14" s="154"/>
      <c r="AA14" s="153"/>
      <c r="AB14" s="153"/>
      <c r="AC14" s="21"/>
      <c r="AH14" s="12"/>
      <c r="AI14" s="12"/>
      <c r="AJ14" s="12"/>
      <c r="AK14" s="12"/>
      <c r="AL14" s="12"/>
      <c r="AM14" s="12"/>
      <c r="AN14" s="12"/>
      <c r="AO14" s="12"/>
      <c r="AP14" s="59" t="s">
        <v>293</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297</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201" t="s">
        <v>229</v>
      </c>
      <c r="B16" s="202"/>
      <c r="S16" s="35" t="s">
        <v>220</v>
      </c>
      <c r="T16" s="36"/>
      <c r="U16" s="36"/>
      <c r="V16" s="36"/>
      <c r="W16" s="37"/>
      <c r="Y16" s="170" t="s">
        <v>105</v>
      </c>
      <c r="Z16" s="171"/>
      <c r="AA16" s="171"/>
      <c r="AB16" s="172"/>
      <c r="AC16" s="21"/>
      <c r="AH16" s="12"/>
      <c r="AI16" s="12"/>
      <c r="AJ16" s="12"/>
      <c r="AK16" s="12"/>
      <c r="AL16" s="12"/>
      <c r="AM16" s="12"/>
      <c r="AN16" s="12"/>
      <c r="AO16" s="12"/>
      <c r="AP16" s="59" t="s">
        <v>30</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97" t="s">
        <v>99</v>
      </c>
      <c r="B17" s="198"/>
      <c r="C17" s="2"/>
      <c r="D17" s="2"/>
      <c r="E17" s="2"/>
      <c r="F17" s="2"/>
      <c r="G17" s="2"/>
      <c r="H17" s="2"/>
      <c r="I17" s="2"/>
      <c r="J17" s="2"/>
      <c r="K17" s="2"/>
      <c r="L17" s="2"/>
      <c r="M17" s="2"/>
      <c r="N17" s="2"/>
      <c r="O17" s="2"/>
      <c r="P17" s="2"/>
      <c r="Q17" s="3"/>
      <c r="Y17" s="160" t="str">
        <f>IF(Z64=1,AC68,IF(Z64=2,AC69,IF(Z64=3,AC70,IF(Z64=4,AC71,IF(Z64=5,AC72)))))</f>
        <v>Linear equation applied to all recorded data above 45% L0.</v>
      </c>
      <c r="Z17" s="161"/>
      <c r="AA17" s="161"/>
      <c r="AB17" s="162"/>
      <c r="AC17" s="21"/>
      <c r="AH17" s="12"/>
      <c r="AI17" s="12"/>
      <c r="AJ17" s="12"/>
      <c r="AK17" s="12"/>
      <c r="AL17" s="12"/>
      <c r="AM17" s="12"/>
      <c r="AN17" s="12"/>
      <c r="AO17" s="12"/>
      <c r="AP17" s="53" t="s">
        <v>39</v>
      </c>
      <c r="BI17" s="53" t="s">
        <v>39</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99" t="s">
        <v>100</v>
      </c>
      <c r="B18" s="200"/>
      <c r="C18" s="1"/>
      <c r="D18" s="1"/>
      <c r="E18" s="1"/>
      <c r="F18" s="1"/>
      <c r="G18" s="1"/>
      <c r="H18" s="1"/>
      <c r="I18" s="1"/>
      <c r="J18" s="1"/>
      <c r="K18" s="1"/>
      <c r="L18" s="1"/>
      <c r="M18" s="1"/>
      <c r="N18" s="1"/>
      <c r="O18" s="1"/>
      <c r="P18" s="1"/>
      <c r="Q18" s="4"/>
      <c r="W18" s="38"/>
      <c r="Y18" s="163"/>
      <c r="Z18" s="164"/>
      <c r="AA18" s="164"/>
      <c r="AB18" s="165"/>
      <c r="AC18" s="21"/>
      <c r="AH18" s="12"/>
      <c r="AI18" s="12"/>
      <c r="AJ18" s="12"/>
      <c r="AK18" s="12"/>
      <c r="AL18" s="12"/>
      <c r="AM18" s="12"/>
      <c r="AN18" s="12"/>
      <c r="AO18" s="12"/>
      <c r="AP18" s="65" t="s">
        <v>250</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250</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89" t="s">
        <v>101</v>
      </c>
      <c r="B19" s="190"/>
      <c r="C19" s="5"/>
      <c r="D19" s="5"/>
      <c r="E19" s="5"/>
      <c r="F19" s="5"/>
      <c r="G19" s="5"/>
      <c r="H19" s="5"/>
      <c r="I19" s="5"/>
      <c r="J19" s="5"/>
      <c r="K19" s="5"/>
      <c r="L19" s="5"/>
      <c r="M19" s="5"/>
      <c r="N19" s="5"/>
      <c r="O19" s="5"/>
      <c r="P19" s="5"/>
      <c r="Q19" s="6"/>
      <c r="S19" s="39" t="s">
        <v>104</v>
      </c>
      <c r="U19" s="10">
        <v>0.05</v>
      </c>
      <c r="V19" s="40" t="s">
        <v>231</v>
      </c>
      <c r="Y19" s="166"/>
      <c r="Z19" s="167"/>
      <c r="AA19" s="167"/>
      <c r="AB19" s="168"/>
      <c r="AC19" s="12"/>
      <c r="AH19" s="12"/>
      <c r="AI19" s="12"/>
      <c r="AJ19" s="12"/>
      <c r="AK19" s="12"/>
      <c r="AL19" s="12"/>
      <c r="AM19" s="12"/>
      <c r="AN19" s="12"/>
      <c r="AO19" s="12"/>
      <c r="AP19" s="67" t="s">
        <v>15</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15</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261</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261</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219</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31</v>
      </c>
      <c r="AQ22" s="66" t="s">
        <v>32</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136" t="s">
        <v>221</v>
      </c>
      <c r="X23" s="136"/>
      <c r="Y23" s="47"/>
      <c r="Z23" s="47"/>
      <c r="AA23" s="155"/>
      <c r="AB23" s="47"/>
      <c r="AC23" s="47"/>
      <c r="AD23" s="47"/>
      <c r="AH23" s="12"/>
      <c r="AI23" s="12"/>
      <c r="AJ23" s="12"/>
      <c r="AK23" s="12"/>
      <c r="AL23" s="12"/>
      <c r="AM23" s="12"/>
      <c r="AN23" s="12"/>
      <c r="AO23" s="12"/>
      <c r="AP23" s="59"/>
      <c r="AQ23" s="66" t="s">
        <v>33</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55"/>
      <c r="AB24" s="47"/>
      <c r="AC24" s="47"/>
      <c r="AD24" s="47"/>
      <c r="AH24" s="12"/>
      <c r="AI24" s="12"/>
      <c r="AJ24" s="12"/>
      <c r="AK24" s="12"/>
      <c r="AL24" s="12"/>
      <c r="AM24" s="12"/>
      <c r="AN24" s="12"/>
      <c r="AO24" s="12"/>
      <c r="AP24" s="59"/>
      <c r="AQ24" s="66" t="s">
        <v>34</v>
      </c>
      <c r="AR24" s="66" t="e">
        <f>RSQ(AR39:BF39,AR40:BF40)</f>
        <v>#DIV/0!</v>
      </c>
      <c r="AS24" s="66" t="s">
        <v>70</v>
      </c>
      <c r="AT24" s="66" t="e">
        <f>STEYX(AR39:BF39,AR40:BF40)</f>
        <v>#DIV/0!</v>
      </c>
      <c r="AU24" s="66" t="s">
        <v>65</v>
      </c>
      <c r="AV24" s="66">
        <f>SQRT(SUM(AR41:BF41)/(COUNT(AR41:BF41)-2))</f>
        <v>0</v>
      </c>
      <c r="DZ24" s="55"/>
      <c r="ED24" s="77"/>
      <c r="EE24" s="77"/>
      <c r="EF24" s="77"/>
      <c r="EG24" s="77"/>
      <c r="EH24" s="77"/>
      <c r="EI24" s="77"/>
      <c r="EJ24" s="77"/>
      <c r="EK24" s="77"/>
      <c r="EL24" s="77"/>
      <c r="EM24" s="77"/>
    </row>
    <row r="25" spans="1:143" ht="25" customHeight="1" x14ac:dyDescent="0.5">
      <c r="W25" s="145" t="s">
        <v>247</v>
      </c>
      <c r="X25" s="146"/>
      <c r="Y25" s="145" t="s">
        <v>222</v>
      </c>
      <c r="Z25" s="146"/>
      <c r="AA25" s="145" t="s">
        <v>224</v>
      </c>
      <c r="AB25" s="146"/>
      <c r="AH25" s="12"/>
      <c r="AI25" s="12"/>
      <c r="AJ25" s="12"/>
      <c r="AK25" s="12"/>
      <c r="AL25" s="12"/>
      <c r="AM25" s="12"/>
      <c r="AN25" s="12"/>
      <c r="AO25" s="12"/>
      <c r="AP25" s="53" t="s">
        <v>40</v>
      </c>
      <c r="BI25" s="53" t="s">
        <v>40</v>
      </c>
      <c r="ED25" s="77"/>
      <c r="EE25" s="77"/>
      <c r="EF25" s="77"/>
      <c r="EG25" s="77"/>
      <c r="EH25" s="77"/>
      <c r="EI25" s="77"/>
      <c r="EJ25" s="77"/>
      <c r="EK25" s="77"/>
      <c r="EL25" s="77"/>
      <c r="EM25" s="77"/>
    </row>
    <row r="26" spans="1:143" ht="25" customHeight="1" x14ac:dyDescent="0.5">
      <c r="S26" s="12"/>
      <c r="T26" s="12"/>
      <c r="U26" s="12"/>
      <c r="V26" s="12"/>
      <c r="W26" s="137" t="e">
        <f>AG81</f>
        <v>#DIV/0!</v>
      </c>
      <c r="X26" s="138"/>
      <c r="Y26" s="141" t="e">
        <f>AH81</f>
        <v>#DIV/0!</v>
      </c>
      <c r="Z26" s="142"/>
      <c r="AA26" s="141" t="e">
        <f>AI81</f>
        <v>#DIV/0!</v>
      </c>
      <c r="AB26" s="142"/>
      <c r="AC26" s="12"/>
      <c r="AD26" s="12"/>
      <c r="AE26" s="12"/>
      <c r="AH26" s="12"/>
      <c r="AI26" s="12"/>
      <c r="AJ26" s="12"/>
      <c r="AK26" s="12"/>
      <c r="AL26" s="12"/>
      <c r="AM26" s="12"/>
      <c r="AN26" s="12"/>
      <c r="AO26" s="12"/>
      <c r="AP26" s="67" t="s">
        <v>301</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17</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139"/>
      <c r="X27" s="140"/>
      <c r="Y27" s="143"/>
      <c r="Z27" s="144"/>
      <c r="AA27" s="143"/>
      <c r="AB27" s="144"/>
      <c r="AH27" s="12"/>
      <c r="AI27" s="12"/>
      <c r="AJ27" s="12"/>
      <c r="AK27" s="12"/>
      <c r="AL27" s="12"/>
      <c r="AM27" s="12"/>
      <c r="AN27" s="12"/>
      <c r="AO27" s="12"/>
      <c r="AP27" s="59" t="s">
        <v>302</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35</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47" t="s">
        <v>223</v>
      </c>
      <c r="AB28" s="147"/>
      <c r="AH28" s="12"/>
      <c r="AI28" s="12"/>
      <c r="AJ28" s="12"/>
      <c r="AK28" s="12"/>
      <c r="AL28" s="12"/>
      <c r="AM28" s="12"/>
      <c r="AN28" s="12"/>
      <c r="AO28" s="12"/>
      <c r="AP28" s="59" t="s">
        <v>303</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36</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48"/>
      <c r="AB29" s="148"/>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304</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252</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305</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253</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306</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254</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41</v>
      </c>
      <c r="BI33" s="53" t="s">
        <v>41</v>
      </c>
    </row>
    <row r="34" spans="1:77" x14ac:dyDescent="0.5">
      <c r="B34" s="56" t="s">
        <v>97</v>
      </c>
      <c r="D34" s="80" t="s">
        <v>19</v>
      </c>
      <c r="E34" s="80" t="s">
        <v>164</v>
      </c>
      <c r="F34" s="80"/>
      <c r="G34" s="80"/>
      <c r="H34" s="80"/>
      <c r="I34" s="80"/>
      <c r="J34" s="80"/>
      <c r="K34" s="80"/>
      <c r="L34" s="80"/>
      <c r="M34" s="80"/>
      <c r="N34" s="80"/>
      <c r="O34" s="80"/>
      <c r="P34" s="80"/>
      <c r="Q34" s="80"/>
      <c r="R34" s="80" t="s">
        <v>165</v>
      </c>
      <c r="V34" s="80" t="s">
        <v>19</v>
      </c>
      <c r="W34" s="80" t="s">
        <v>164</v>
      </c>
      <c r="X34" s="80"/>
      <c r="Y34" s="80"/>
      <c r="Z34" s="80"/>
      <c r="AA34" s="80"/>
      <c r="AB34" s="80"/>
      <c r="AC34" s="80"/>
      <c r="AD34" s="80"/>
      <c r="AE34" s="80"/>
      <c r="AF34" s="80"/>
      <c r="AG34" s="80"/>
      <c r="AH34" s="80"/>
      <c r="AI34" s="80"/>
      <c r="AJ34" s="80" t="s">
        <v>165</v>
      </c>
      <c r="AK34" s="12"/>
      <c r="AL34" s="12"/>
      <c r="AM34" s="12"/>
      <c r="AN34" s="12"/>
      <c r="AO34" s="12"/>
      <c r="AP34" s="65" t="s">
        <v>250</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250</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250</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20</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15</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15</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5</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5</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261</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261</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251</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6</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66</v>
      </c>
    </row>
    <row r="39" spans="1:77" x14ac:dyDescent="0.5">
      <c r="A39" s="12"/>
      <c r="B39" s="53" t="s">
        <v>39</v>
      </c>
      <c r="C39" s="12"/>
      <c r="O39" s="17"/>
      <c r="S39" s="12"/>
      <c r="X39" s="12"/>
      <c r="Y39" s="12"/>
      <c r="Z39" s="12"/>
      <c r="AA39" s="12"/>
      <c r="AB39" s="12"/>
      <c r="AC39" s="12"/>
      <c r="AD39" s="12"/>
      <c r="AE39" s="12"/>
      <c r="AF39" s="12"/>
      <c r="AG39" s="12"/>
      <c r="AH39" s="12"/>
      <c r="AI39" s="12"/>
      <c r="AJ39" s="12"/>
      <c r="AK39" s="12"/>
      <c r="AL39" s="12"/>
      <c r="AM39" s="12"/>
      <c r="AN39" s="12"/>
      <c r="AP39" s="59" t="s">
        <v>67</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250</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18</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307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5</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75</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69</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251</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76</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45</v>
      </c>
      <c r="AP43" s="53" t="s">
        <v>294</v>
      </c>
      <c r="AR43" s="52" t="s">
        <v>89</v>
      </c>
    </row>
    <row r="44" spans="1:77" x14ac:dyDescent="0.5">
      <c r="A44" s="12"/>
      <c r="B44" s="56" t="s">
        <v>40</v>
      </c>
      <c r="O44" s="17"/>
      <c r="S44" s="12"/>
      <c r="X44" s="12"/>
      <c r="Y44" s="12"/>
      <c r="Z44" s="12"/>
      <c r="AA44" s="12"/>
      <c r="AB44" s="12"/>
      <c r="AC44" s="12"/>
      <c r="AD44" s="12"/>
      <c r="AE44" s="12"/>
      <c r="AF44" s="12"/>
      <c r="AG44" s="12"/>
      <c r="AH44" s="12"/>
      <c r="AI44" s="12"/>
      <c r="AJ44" s="12"/>
      <c r="AK44" s="12"/>
      <c r="AL44" s="12"/>
      <c r="AM44" s="12"/>
      <c r="AN44" s="12"/>
      <c r="AO44" s="12"/>
      <c r="AP44" s="59" t="s">
        <v>43</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17</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77</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30</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35</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78</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36</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79</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39</v>
      </c>
      <c r="BI47" s="53" t="s">
        <v>39</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250</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250</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252</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80</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15</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15</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253</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81</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261</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261</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254</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82</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31</v>
      </c>
      <c r="AQ52" s="65" t="s">
        <v>32</v>
      </c>
      <c r="AR52" s="66" t="e">
        <f>SLOPE(AR48:BF48,AR49:BF49)</f>
        <v>#DIV/0!</v>
      </c>
      <c r="AS52" s="75"/>
      <c r="AT52" s="75"/>
      <c r="AU52" s="75"/>
      <c r="AV52" s="75"/>
      <c r="BI52" s="53"/>
    </row>
    <row r="53" spans="1:77" x14ac:dyDescent="0.5">
      <c r="B53" s="53" t="s">
        <v>116</v>
      </c>
      <c r="O53" s="17"/>
      <c r="R53" s="12"/>
      <c r="Z53" s="12"/>
      <c r="AP53" s="59"/>
      <c r="AQ53" s="65" t="s">
        <v>33</v>
      </c>
      <c r="AR53" s="66" t="e">
        <f>INTERCEPT(AR48:BF48,AR49:BF49)</f>
        <v>#DIV/0!</v>
      </c>
      <c r="AS53" s="75"/>
      <c r="AT53" s="75"/>
      <c r="AU53" s="75"/>
      <c r="AV53" s="75"/>
    </row>
    <row r="54" spans="1:77" x14ac:dyDescent="0.5">
      <c r="B54" s="59" t="s">
        <v>250</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18</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34</v>
      </c>
      <c r="AR54" s="66" t="e">
        <f>RSQ(AR71:BF71,AR72:BF72)</f>
        <v>#DIV/0!</v>
      </c>
      <c r="AS54" s="66" t="s">
        <v>70</v>
      </c>
      <c r="AT54" s="66" t="e">
        <f>STEYX(AR71:BF71,AR72:BF72)</f>
        <v>#DIV/0!</v>
      </c>
      <c r="AU54" s="66" t="s">
        <v>65</v>
      </c>
      <c r="AV54" s="66">
        <f>SQRT(SUM(AR73:BF73)/(COUNT(AR73:BF73)-2))</f>
        <v>0</v>
      </c>
    </row>
    <row r="55" spans="1:77" x14ac:dyDescent="0.5">
      <c r="B55" s="59" t="s">
        <v>5</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75</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251</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76</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40</v>
      </c>
      <c r="BI56" s="53" t="s">
        <v>40</v>
      </c>
    </row>
    <row r="57" spans="1:77" x14ac:dyDescent="0.5">
      <c r="O57" s="17"/>
      <c r="Z57" s="12"/>
      <c r="AO57" s="12"/>
      <c r="AP57" s="67" t="s">
        <v>301</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17</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117</v>
      </c>
      <c r="O58" s="17"/>
      <c r="Z58" s="12"/>
      <c r="AO58" s="12"/>
      <c r="AP58" s="59" t="s">
        <v>302</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35</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250</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20</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303</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36</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5</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5</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251</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6</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304</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252</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305</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253</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102</v>
      </c>
      <c r="O63" s="17"/>
      <c r="P63" s="56" t="s">
        <v>103</v>
      </c>
      <c r="T63" s="53" t="s">
        <v>31</v>
      </c>
      <c r="U63" s="12"/>
      <c r="V63" s="12"/>
      <c r="W63" s="12"/>
      <c r="Z63" s="56" t="s">
        <v>138</v>
      </c>
      <c r="AO63" s="12"/>
      <c r="AP63" s="59" t="s">
        <v>306</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254</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255</v>
      </c>
      <c r="C64" s="59" t="s">
        <v>63</v>
      </c>
      <c r="D64" s="59" t="s">
        <v>256</v>
      </c>
      <c r="E64" s="59" t="s">
        <v>255</v>
      </c>
      <c r="F64" s="59" t="s">
        <v>63</v>
      </c>
      <c r="G64" s="59" t="s">
        <v>256</v>
      </c>
      <c r="H64" s="59" t="s">
        <v>250</v>
      </c>
      <c r="I64" s="59" t="s">
        <v>5</v>
      </c>
      <c r="J64" s="59" t="s">
        <v>72</v>
      </c>
      <c r="K64" s="59" t="s">
        <v>73</v>
      </c>
      <c r="L64" s="59" t="s">
        <v>251</v>
      </c>
      <c r="M64" s="59" t="s">
        <v>257</v>
      </c>
      <c r="N64" s="59" t="s">
        <v>258</v>
      </c>
      <c r="O64" s="17" t="s">
        <v>32</v>
      </c>
      <c r="P64" s="59" t="s">
        <v>259</v>
      </c>
      <c r="Q64" s="59" t="s">
        <v>71</v>
      </c>
      <c r="R64" s="59" t="s">
        <v>261</v>
      </c>
      <c r="T64" s="59" t="s">
        <v>240</v>
      </c>
      <c r="U64" s="62" t="e">
        <f>IF($Z$64=1,AR23,IF($Z$64=2,AR53,IF($Z$64=3,AR87,IF($Z$64=4,AT119,IF($Z$64=5,AT178)))))</f>
        <v>#DIV/0!</v>
      </c>
      <c r="V64" s="59" t="s">
        <v>34</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32</v>
      </c>
      <c r="U65" s="62" t="e">
        <f>IF($Z$64=1,AR22,IF($Z$64=2,AR52,IF($Z$64=3,AR86,IF($Z$64=4,AT120,IF($Z$64=5,AT179)))))</f>
        <v>#DIV/0!</v>
      </c>
      <c r="V65" s="59" t="s">
        <v>70</v>
      </c>
      <c r="W65" s="62" t="e">
        <f>IF(Z64=1,AT24,IF(Z64=2,AT54,IF(Z64=3,AT88,IF(Z64=4,AY115,IF(Z64=5,AY174)))))</f>
        <v>#DIV/0!</v>
      </c>
      <c r="AO65" s="12"/>
      <c r="AP65" s="53" t="s">
        <v>41</v>
      </c>
      <c r="BI65" s="53" t="s">
        <v>41</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57</v>
      </c>
      <c r="U66" s="62" t="e">
        <f>IF($Z$64=4,AT124,IF($Z$64=5,AT183,-U64/U65))</f>
        <v>#DIV/0!</v>
      </c>
      <c r="V66" s="59" t="s">
        <v>65</v>
      </c>
      <c r="W66" s="62">
        <f>IF(Z64=1,AV24,IF(Z64=2,AV54,IF(Z64=3,AV88,IF(Z64=4,BA115,IF(Z64=5,BA174)))))</f>
        <v>0</v>
      </c>
      <c r="AO66" s="12"/>
      <c r="AP66" s="65" t="s">
        <v>250</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250</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241</v>
      </c>
      <c r="U67" s="62" t="e">
        <f>IF($Z$64=4,AT125,IF($Z$64=5,AT184,U66*U64/4))</f>
        <v>#DIV/0!</v>
      </c>
      <c r="V67" s="12"/>
      <c r="W67" s="12"/>
      <c r="Z67" s="108" t="s">
        <v>106</v>
      </c>
      <c r="AC67" s="17" t="s">
        <v>154</v>
      </c>
      <c r="AO67" s="12"/>
      <c r="AP67" s="67" t="s">
        <v>15</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15</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260</v>
      </c>
      <c r="Q68" s="59" t="s">
        <v>75</v>
      </c>
      <c r="R68" s="59" t="s">
        <v>262</v>
      </c>
      <c r="T68" s="59" t="s">
        <v>243</v>
      </c>
      <c r="U68" s="62" t="e">
        <f>IF($Z$64=4,AT126,IF($Z$64=5,AT185,U64/2))</f>
        <v>#DIV/0!</v>
      </c>
      <c r="V68" s="12"/>
      <c r="W68" s="12"/>
      <c r="Y68" s="17">
        <v>1</v>
      </c>
      <c r="Z68" s="109" t="s">
        <v>289</v>
      </c>
      <c r="AC68" s="17" t="s">
        <v>211</v>
      </c>
      <c r="AO68" s="12"/>
      <c r="AP68" s="67" t="s">
        <v>261</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251</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8</v>
      </c>
      <c r="U69" s="62" t="e">
        <f>IF($Z$64=4,AT127,IF($Z$64=5,AT186,U66/2))</f>
        <v>#DIV/0!</v>
      </c>
      <c r="V69" s="12"/>
      <c r="W69" s="12"/>
      <c r="Y69" s="17">
        <v>2</v>
      </c>
      <c r="Z69" s="109" t="s">
        <v>290</v>
      </c>
      <c r="AC69" s="17" t="s">
        <v>287</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263</v>
      </c>
      <c r="U70" s="62" t="e">
        <f>IF($Z$64=4,AT116,IF($Z$64=5,AT175,NA()))</f>
        <v>#N/A</v>
      </c>
      <c r="V70" s="12"/>
      <c r="W70" s="12"/>
      <c r="Y70" s="17">
        <v>3</v>
      </c>
      <c r="Z70" s="109" t="s">
        <v>291</v>
      </c>
      <c r="AC70" s="17" t="s">
        <v>288</v>
      </c>
      <c r="AP70" s="53" t="s">
        <v>66</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53</v>
      </c>
      <c r="U71" s="62" t="e">
        <f>IF($Z$64=4,AT117,IF($Z$64=5,AT176,NA()))</f>
        <v>#N/A</v>
      </c>
      <c r="V71" s="12"/>
      <c r="W71" s="12"/>
      <c r="Y71" s="17">
        <v>4</v>
      </c>
      <c r="Z71" s="109" t="s">
        <v>214</v>
      </c>
      <c r="AC71" s="17" t="s">
        <v>212</v>
      </c>
      <c r="AP71" s="59" t="s">
        <v>67</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54</v>
      </c>
      <c r="U72" s="62" t="e">
        <f>IF($Z$64=4,AT118,IF($Z$64=5,AT177,NA()))</f>
        <v>#N/A</v>
      </c>
      <c r="V72" s="12"/>
      <c r="W72" s="12"/>
      <c r="Y72" s="17">
        <v>5</v>
      </c>
      <c r="Z72" s="109" t="s">
        <v>215</v>
      </c>
      <c r="AC72" s="17" t="s">
        <v>213</v>
      </c>
      <c r="AP72" s="59" t="s">
        <v>307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55</v>
      </c>
      <c r="U73" s="62" t="e">
        <f>IF($Z$64=4,AT121,IF($Z$64=5,AT180,NA()))</f>
        <v>#N/A</v>
      </c>
      <c r="V73" s="12"/>
      <c r="W73" s="12"/>
      <c r="Z73" s="110" t="s">
        <v>210</v>
      </c>
      <c r="AA73" s="111"/>
      <c r="AB73" s="112"/>
      <c r="AP73" s="59" t="s">
        <v>69</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56</v>
      </c>
      <c r="U74" s="62" t="e">
        <f>IF($Z$64=4,AT122,IF($Z$64=5,AT181,NA()))</f>
        <v>#N/A</v>
      </c>
      <c r="V74" s="12"/>
      <c r="W74" s="12"/>
      <c r="Z74" s="118" t="s">
        <v>290</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71</v>
      </c>
      <c r="U75" s="62" t="e">
        <f>-U64/U65</f>
        <v>#DIV/0!</v>
      </c>
      <c r="AO75" s="12" t="s">
        <v>46</v>
      </c>
      <c r="AP75" s="53" t="s">
        <v>50</v>
      </c>
      <c r="AR75" s="52" t="s">
        <v>89</v>
      </c>
      <c r="BI75" s="53" t="s">
        <v>50</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264</v>
      </c>
      <c r="U76" s="62" t="e">
        <f>U64*U75/4</f>
        <v>#DIV/0!</v>
      </c>
      <c r="AO76" s="12"/>
      <c r="AP76" s="59" t="s">
        <v>90</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47</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265</v>
      </c>
      <c r="U77" s="62" t="e">
        <f>U64/2</f>
        <v>#DIV/0!</v>
      </c>
      <c r="AO77" s="12"/>
      <c r="AP77" s="59" t="s">
        <v>48</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48</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74</v>
      </c>
      <c r="U78" s="62" t="e">
        <f>U66/2</f>
        <v>#DIV/0!</v>
      </c>
      <c r="AO78" s="12"/>
      <c r="AP78" s="59" t="s">
        <v>119</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217</v>
      </c>
      <c r="AO79" s="12"/>
      <c r="AP79" s="59" t="s">
        <v>30</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20</v>
      </c>
      <c r="AB80" s="17" t="s">
        <v>5</v>
      </c>
      <c r="AC80" s="17" t="s">
        <v>218</v>
      </c>
      <c r="AD80" s="12"/>
      <c r="AF80" s="17" t="s">
        <v>210</v>
      </c>
      <c r="AG80" s="17" t="s">
        <v>62</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241</v>
      </c>
      <c r="AA81" s="49" t="e">
        <f>U68</f>
        <v>#DIV/0!</v>
      </c>
      <c r="AB81" s="49" t="e">
        <f>U69</f>
        <v>#DIV/0!</v>
      </c>
      <c r="AC81" s="49" t="e">
        <f>(AA81/9.81)-(($L$1+$P$1)*SIN(($T$1*PI())/180))</f>
        <v>#DIV/0!</v>
      </c>
      <c r="AF81" s="126" t="s">
        <v>241</v>
      </c>
      <c r="AG81" s="17" t="e">
        <f>INDEX(AA81:AA102,MATCH(AF81,Z81:Z102,0))</f>
        <v>#DIV/0!</v>
      </c>
      <c r="AH81" s="17" t="e">
        <f>INDEX(AB81:AB102,MATCH(AF81,Z81:Z102,0))</f>
        <v>#DIV/0!</v>
      </c>
      <c r="AI81" s="17" t="e">
        <f>INDEX(AC81:AC102,MATCH(AF81,Z81:Z102,0))</f>
        <v>#DIV/0!</v>
      </c>
      <c r="AO81" s="12"/>
      <c r="AP81" s="53" t="s">
        <v>39</v>
      </c>
      <c r="BI81" s="53" t="s">
        <v>39</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266</v>
      </c>
      <c r="AA82" s="49" t="e">
        <f>H65</f>
        <v>#DIV/0!</v>
      </c>
      <c r="AB82" s="49" t="e">
        <f>I65</f>
        <v>#DIV/0!</v>
      </c>
      <c r="AC82" s="49" t="e">
        <f t="shared" ref="AC82:AC102" si="123">(AA82/9.81)-(($L$1+$P$1)*SIN(($T$1*PI())/180))</f>
        <v>#DIV/0!</v>
      </c>
      <c r="AO82" s="12"/>
      <c r="AP82" s="65" t="s">
        <v>250</v>
      </c>
      <c r="AQ82" s="59"/>
      <c r="AR82" s="63" t="str">
        <f t="shared" ref="AR82:BF82" si="124">IF(AR$79=1,AR9,"")</f>
        <v/>
      </c>
      <c r="AS82" s="63" t="str">
        <f t="shared" si="124"/>
        <v/>
      </c>
      <c r="AT82" s="63" t="str">
        <f t="shared" si="124"/>
        <v/>
      </c>
      <c r="AU82" s="63" t="str">
        <f t="shared" si="124"/>
        <v/>
      </c>
      <c r="AV82" s="63" t="str">
        <f t="shared" si="124"/>
        <v/>
      </c>
      <c r="AW82" s="63" t="str">
        <f t="shared" si="124"/>
        <v/>
      </c>
      <c r="AX82" s="63" t="str">
        <f t="shared" si="124"/>
        <v/>
      </c>
      <c r="AY82" s="63" t="str">
        <f t="shared" si="124"/>
        <v/>
      </c>
      <c r="AZ82" s="63" t="str">
        <f t="shared" si="124"/>
        <v/>
      </c>
      <c r="BA82" s="63" t="str">
        <f t="shared" si="124"/>
        <v/>
      </c>
      <c r="BB82" s="63" t="str">
        <f t="shared" si="124"/>
        <v/>
      </c>
      <c r="BC82" s="63" t="str">
        <f t="shared" si="124"/>
        <v/>
      </c>
      <c r="BD82" s="63" t="str">
        <f t="shared" si="124"/>
        <v/>
      </c>
      <c r="BE82" s="63" t="str">
        <f t="shared" si="124"/>
        <v/>
      </c>
      <c r="BF82" s="63" t="str">
        <f t="shared" si="124"/>
        <v/>
      </c>
      <c r="BI82" s="65" t="s">
        <v>250</v>
      </c>
      <c r="BJ82" s="59"/>
      <c r="BK82" s="63" t="e">
        <f t="shared" ref="BK82:BY84" si="125">IF(AR$79=1,AR9,NA())</f>
        <v>#N/A</v>
      </c>
      <c r="BL82" s="63" t="e">
        <f t="shared" si="125"/>
        <v>#N/A</v>
      </c>
      <c r="BM82" s="63" t="e">
        <f t="shared" si="125"/>
        <v>#N/A</v>
      </c>
      <c r="BN82" s="63" t="e">
        <f t="shared" si="125"/>
        <v>#N/A</v>
      </c>
      <c r="BO82" s="63" t="e">
        <f t="shared" si="125"/>
        <v>#N/A</v>
      </c>
      <c r="BP82" s="63" t="e">
        <f t="shared" si="125"/>
        <v>#N/A</v>
      </c>
      <c r="BQ82" s="63" t="e">
        <f t="shared" si="125"/>
        <v>#N/A</v>
      </c>
      <c r="BR82" s="63" t="e">
        <f t="shared" si="125"/>
        <v>#N/A</v>
      </c>
      <c r="BS82" s="63" t="e">
        <f t="shared" si="125"/>
        <v>#N/A</v>
      </c>
      <c r="BT82" s="63" t="e">
        <f t="shared" si="125"/>
        <v>#N/A</v>
      </c>
      <c r="BU82" s="63" t="e">
        <f t="shared" si="125"/>
        <v>#N/A</v>
      </c>
      <c r="BV82" s="63" t="e">
        <f t="shared" si="125"/>
        <v>#N/A</v>
      </c>
      <c r="BW82" s="63" t="e">
        <f t="shared" si="125"/>
        <v>#N/A</v>
      </c>
      <c r="BX82" s="63" t="e">
        <f t="shared" si="125"/>
        <v>#N/A</v>
      </c>
      <c r="BY82" s="63" t="e">
        <f t="shared" si="125"/>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267</v>
      </c>
      <c r="AA83" s="49" t="e">
        <f>H70</f>
        <v>#DIV/0!</v>
      </c>
      <c r="AB83" s="49" t="e">
        <f>I70</f>
        <v>#DIV/0!</v>
      </c>
      <c r="AC83" s="49" t="e">
        <f t="shared" si="123"/>
        <v>#DIV/0!</v>
      </c>
      <c r="AO83" s="12"/>
      <c r="AP83" s="67" t="s">
        <v>15</v>
      </c>
      <c r="AQ83" s="59"/>
      <c r="AR83" s="63" t="str">
        <f t="shared" ref="AR83:BF83" si="126">IF(AR$79=1,AR10,"")</f>
        <v/>
      </c>
      <c r="AS83" s="63" t="str">
        <f t="shared" si="126"/>
        <v/>
      </c>
      <c r="AT83" s="63" t="str">
        <f t="shared" si="126"/>
        <v/>
      </c>
      <c r="AU83" s="63" t="str">
        <f t="shared" si="126"/>
        <v/>
      </c>
      <c r="AV83" s="63" t="str">
        <f t="shared" si="126"/>
        <v/>
      </c>
      <c r="AW83" s="63" t="str">
        <f t="shared" si="126"/>
        <v/>
      </c>
      <c r="AX83" s="63" t="str">
        <f t="shared" si="126"/>
        <v/>
      </c>
      <c r="AY83" s="63" t="str">
        <f t="shared" si="126"/>
        <v/>
      </c>
      <c r="AZ83" s="63" t="str">
        <f t="shared" si="126"/>
        <v/>
      </c>
      <c r="BA83" s="63" t="str">
        <f t="shared" si="126"/>
        <v/>
      </c>
      <c r="BB83" s="63" t="str">
        <f t="shared" si="126"/>
        <v/>
      </c>
      <c r="BC83" s="63" t="str">
        <f t="shared" si="126"/>
        <v/>
      </c>
      <c r="BD83" s="63" t="str">
        <f t="shared" si="126"/>
        <v/>
      </c>
      <c r="BE83" s="63" t="str">
        <f t="shared" si="126"/>
        <v/>
      </c>
      <c r="BF83" s="63" t="str">
        <f t="shared" si="126"/>
        <v/>
      </c>
      <c r="BI83" s="67" t="s">
        <v>15</v>
      </c>
      <c r="BJ83" s="59"/>
      <c r="BK83" s="63" t="e">
        <f t="shared" si="125"/>
        <v>#N/A</v>
      </c>
      <c r="BL83" s="63" t="e">
        <f t="shared" si="125"/>
        <v>#N/A</v>
      </c>
      <c r="BM83" s="63" t="e">
        <f t="shared" si="125"/>
        <v>#N/A</v>
      </c>
      <c r="BN83" s="63" t="e">
        <f t="shared" si="125"/>
        <v>#N/A</v>
      </c>
      <c r="BO83" s="63" t="e">
        <f t="shared" si="125"/>
        <v>#N/A</v>
      </c>
      <c r="BP83" s="63" t="e">
        <f t="shared" si="125"/>
        <v>#N/A</v>
      </c>
      <c r="BQ83" s="63" t="e">
        <f t="shared" si="125"/>
        <v>#N/A</v>
      </c>
      <c r="BR83" s="63" t="e">
        <f t="shared" si="125"/>
        <v>#N/A</v>
      </c>
      <c r="BS83" s="63" t="e">
        <f t="shared" si="125"/>
        <v>#N/A</v>
      </c>
      <c r="BT83" s="63" t="e">
        <f t="shared" si="125"/>
        <v>#N/A</v>
      </c>
      <c r="BU83" s="63" t="e">
        <f t="shared" si="125"/>
        <v>#N/A</v>
      </c>
      <c r="BV83" s="63" t="e">
        <f t="shared" si="125"/>
        <v>#N/A</v>
      </c>
      <c r="BW83" s="63" t="e">
        <f t="shared" si="125"/>
        <v>#N/A</v>
      </c>
      <c r="BX83" s="63" t="e">
        <f t="shared" si="125"/>
        <v>#N/A</v>
      </c>
      <c r="BY83" s="63" t="e">
        <f t="shared" si="125"/>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268</v>
      </c>
      <c r="AA84" s="49" t="e">
        <f>H75</f>
        <v>#DIV/0!</v>
      </c>
      <c r="AB84" s="49" t="e">
        <f>I75</f>
        <v>#DIV/0!</v>
      </c>
      <c r="AC84" s="49" t="e">
        <f t="shared" si="123"/>
        <v>#DIV/0!</v>
      </c>
      <c r="AO84" s="12"/>
      <c r="AP84" s="67" t="s">
        <v>261</v>
      </c>
      <c r="AQ84" s="59"/>
      <c r="AR84" s="63" t="str">
        <f t="shared" ref="AR84:BF84" si="127">IF(AR$79=1,AR11,"")</f>
        <v/>
      </c>
      <c r="AS84" s="63" t="str">
        <f t="shared" si="127"/>
        <v/>
      </c>
      <c r="AT84" s="63" t="str">
        <f t="shared" si="127"/>
        <v/>
      </c>
      <c r="AU84" s="63" t="str">
        <f t="shared" si="127"/>
        <v/>
      </c>
      <c r="AV84" s="63" t="str">
        <f t="shared" si="127"/>
        <v/>
      </c>
      <c r="AW84" s="63" t="str">
        <f t="shared" si="127"/>
        <v/>
      </c>
      <c r="AX84" s="63" t="str">
        <f t="shared" si="127"/>
        <v/>
      </c>
      <c r="AY84" s="63" t="str">
        <f t="shared" si="127"/>
        <v/>
      </c>
      <c r="AZ84" s="63" t="str">
        <f t="shared" si="127"/>
        <v/>
      </c>
      <c r="BA84" s="63" t="str">
        <f t="shared" si="127"/>
        <v/>
      </c>
      <c r="BB84" s="63" t="str">
        <f t="shared" si="127"/>
        <v/>
      </c>
      <c r="BC84" s="63" t="str">
        <f t="shared" si="127"/>
        <v/>
      </c>
      <c r="BD84" s="63" t="str">
        <f t="shared" si="127"/>
        <v/>
      </c>
      <c r="BE84" s="63" t="str">
        <f t="shared" si="127"/>
        <v/>
      </c>
      <c r="BF84" s="63" t="str">
        <f t="shared" si="127"/>
        <v/>
      </c>
      <c r="BI84" s="67" t="s">
        <v>251</v>
      </c>
      <c r="BJ84" s="59"/>
      <c r="BK84" s="63" t="e">
        <f t="shared" si="125"/>
        <v>#N/A</v>
      </c>
      <c r="BL84" s="63" t="e">
        <f t="shared" si="125"/>
        <v>#N/A</v>
      </c>
      <c r="BM84" s="63" t="e">
        <f t="shared" si="125"/>
        <v>#N/A</v>
      </c>
      <c r="BN84" s="63" t="e">
        <f t="shared" si="125"/>
        <v>#N/A</v>
      </c>
      <c r="BO84" s="63" t="e">
        <f t="shared" si="125"/>
        <v>#N/A</v>
      </c>
      <c r="BP84" s="63" t="e">
        <f t="shared" si="125"/>
        <v>#N/A</v>
      </c>
      <c r="BQ84" s="63" t="e">
        <f t="shared" si="125"/>
        <v>#N/A</v>
      </c>
      <c r="BR84" s="63" t="e">
        <f t="shared" si="125"/>
        <v>#N/A</v>
      </c>
      <c r="BS84" s="63" t="e">
        <f t="shared" si="125"/>
        <v>#N/A</v>
      </c>
      <c r="BT84" s="63" t="e">
        <f t="shared" si="125"/>
        <v>#N/A</v>
      </c>
      <c r="BU84" s="63" t="e">
        <f t="shared" si="125"/>
        <v>#N/A</v>
      </c>
      <c r="BV84" s="63" t="e">
        <f t="shared" si="125"/>
        <v>#N/A</v>
      </c>
      <c r="BW84" s="63" t="e">
        <f t="shared" si="125"/>
        <v>#N/A</v>
      </c>
      <c r="BX84" s="63" t="e">
        <f t="shared" si="125"/>
        <v>#N/A</v>
      </c>
      <c r="BY84" s="63" t="e">
        <f t="shared" si="125"/>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269</v>
      </c>
      <c r="AA85" s="49" t="e">
        <f>H80</f>
        <v>#DIV/0!</v>
      </c>
      <c r="AB85" s="49" t="e">
        <f>I80</f>
        <v>#DIV/0!</v>
      </c>
      <c r="AC85" s="49" t="e">
        <f t="shared" si="123"/>
        <v>#DIV/0!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270</v>
      </c>
      <c r="AA86" s="49" t="e">
        <f>H85</f>
        <v>#DIV/0!</v>
      </c>
      <c r="AB86" s="49" t="e">
        <f>I85</f>
        <v>#DIV/0!</v>
      </c>
      <c r="AC86" s="49" t="e">
        <f t="shared" si="123"/>
        <v>#DIV/0!</v>
      </c>
      <c r="AP86" s="79" t="s">
        <v>31</v>
      </c>
      <c r="AQ86" s="59" t="s">
        <v>32</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271</v>
      </c>
      <c r="AA87" s="49" t="e">
        <f>H90</f>
        <v>#DIV/0!</v>
      </c>
      <c r="AB87" s="49" t="e">
        <f>I90</f>
        <v>#DIV/0!</v>
      </c>
      <c r="AC87" s="49" t="e">
        <f t="shared" si="123"/>
        <v>#DIV/0!</v>
      </c>
      <c r="AP87" s="59"/>
      <c r="AQ87" s="59" t="s">
        <v>33</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272</v>
      </c>
      <c r="AA88" s="49" t="e">
        <f>H95</f>
        <v>#DIV/0!</v>
      </c>
      <c r="AB88" s="49" t="e">
        <f>I95</f>
        <v>#DIV/0!</v>
      </c>
      <c r="AC88" s="49" t="e">
        <f t="shared" si="123"/>
        <v>#DIV/0!</v>
      </c>
      <c r="AP88" s="59"/>
      <c r="AQ88" s="59" t="s">
        <v>34</v>
      </c>
      <c r="AR88" s="63" t="e">
        <f>RSQ(AR105:BF105,AR106:BF106)</f>
        <v>#DIV/0!</v>
      </c>
      <c r="AS88" s="63" t="s">
        <v>70</v>
      </c>
      <c r="AT88" s="63" t="e">
        <f>STEYX(AR105:BF105,AR106:BF106)</f>
        <v>#DIV/0!</v>
      </c>
      <c r="AU88" s="63" t="s">
        <v>65</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273</v>
      </c>
      <c r="AA89" s="49" t="e">
        <f>H100</f>
        <v>#DIV/0!</v>
      </c>
      <c r="AB89" s="49" t="e">
        <f>I100</f>
        <v>#DIV/0!</v>
      </c>
      <c r="AC89" s="49" t="e">
        <f t="shared" si="123"/>
        <v>#DIV/0!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274</v>
      </c>
      <c r="AA90" s="49" t="e">
        <f>H105</f>
        <v>#DIV/0!</v>
      </c>
      <c r="AB90" s="49" t="e">
        <f>I105</f>
        <v>#DIV/0!</v>
      </c>
      <c r="AC90" s="49" t="e">
        <f t="shared" si="123"/>
        <v>#DIV/0!</v>
      </c>
      <c r="AP90" s="53" t="s">
        <v>40</v>
      </c>
      <c r="BI90" s="53" t="s">
        <v>40</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275</v>
      </c>
      <c r="AA91" s="49" t="e">
        <f>H110</f>
        <v>#DIV/0!</v>
      </c>
      <c r="AB91" s="49" t="e">
        <f>I110</f>
        <v>#DIV/0!</v>
      </c>
      <c r="AC91" s="49" t="e">
        <f t="shared" si="123"/>
        <v>#DIV/0!</v>
      </c>
      <c r="AP91" s="67" t="s">
        <v>301</v>
      </c>
      <c r="AQ91" s="67"/>
      <c r="AR91" s="63" t="str">
        <f t="shared" ref="AR91:BF91" si="128">IF(AR9="","",((AR9-$AR$87)/$AR$86))</f>
        <v/>
      </c>
      <c r="AS91" s="63" t="str">
        <f t="shared" si="128"/>
        <v/>
      </c>
      <c r="AT91" s="63" t="str">
        <f t="shared" si="128"/>
        <v/>
      </c>
      <c r="AU91" s="63" t="str">
        <f t="shared" si="128"/>
        <v/>
      </c>
      <c r="AV91" s="63" t="str">
        <f t="shared" si="128"/>
        <v/>
      </c>
      <c r="AW91" s="63" t="str">
        <f t="shared" si="128"/>
        <v/>
      </c>
      <c r="AX91" s="63" t="str">
        <f t="shared" si="128"/>
        <v/>
      </c>
      <c r="AY91" s="63" t="str">
        <f t="shared" si="128"/>
        <v/>
      </c>
      <c r="AZ91" s="63" t="str">
        <f t="shared" si="128"/>
        <v/>
      </c>
      <c r="BA91" s="63" t="str">
        <f t="shared" si="128"/>
        <v/>
      </c>
      <c r="BB91" s="63" t="str">
        <f t="shared" si="128"/>
        <v/>
      </c>
      <c r="BC91" s="63" t="str">
        <f t="shared" si="128"/>
        <v/>
      </c>
      <c r="BD91" s="63" t="str">
        <f t="shared" si="128"/>
        <v/>
      </c>
      <c r="BE91" s="63" t="str">
        <f t="shared" si="128"/>
        <v/>
      </c>
      <c r="BF91" s="63" t="str">
        <f t="shared" si="128"/>
        <v/>
      </c>
      <c r="BI91" s="67" t="s">
        <v>17</v>
      </c>
      <c r="BJ91" s="67"/>
      <c r="BK91" s="63" t="e">
        <f t="shared" ref="BK91:BY91" si="129">IF(AR9="",NA(),((AR9-$AR$87)/$AR$86))</f>
        <v>#N/A</v>
      </c>
      <c r="BL91" s="63" t="e">
        <f t="shared" si="129"/>
        <v>#N/A</v>
      </c>
      <c r="BM91" s="63" t="e">
        <f t="shared" si="129"/>
        <v>#N/A</v>
      </c>
      <c r="BN91" s="63" t="e">
        <f t="shared" si="129"/>
        <v>#N/A</v>
      </c>
      <c r="BO91" s="63" t="e">
        <f t="shared" si="129"/>
        <v>#N/A</v>
      </c>
      <c r="BP91" s="63" t="e">
        <f t="shared" si="129"/>
        <v>#N/A</v>
      </c>
      <c r="BQ91" s="63" t="e">
        <f t="shared" si="129"/>
        <v>#N/A</v>
      </c>
      <c r="BR91" s="63" t="e">
        <f t="shared" si="129"/>
        <v>#N/A</v>
      </c>
      <c r="BS91" s="63" t="e">
        <f t="shared" si="129"/>
        <v>#N/A</v>
      </c>
      <c r="BT91" s="63" t="e">
        <f t="shared" si="129"/>
        <v>#N/A</v>
      </c>
      <c r="BU91" s="63" t="e">
        <f t="shared" si="129"/>
        <v>#N/A</v>
      </c>
      <c r="BV91" s="63" t="e">
        <f t="shared" si="129"/>
        <v>#N/A</v>
      </c>
      <c r="BW91" s="63" t="e">
        <f t="shared" si="129"/>
        <v>#N/A</v>
      </c>
      <c r="BX91" s="63" t="e">
        <f t="shared" si="129"/>
        <v>#N/A</v>
      </c>
      <c r="BY91" s="63" t="e">
        <f t="shared" si="129"/>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276</v>
      </c>
      <c r="AA92" s="49" t="e">
        <f>H115</f>
        <v>#DIV/0!</v>
      </c>
      <c r="AB92" s="49" t="e">
        <f>I115</f>
        <v>#DIV/0!</v>
      </c>
      <c r="AC92" s="49" t="e">
        <f t="shared" si="123"/>
        <v>#DIV/0!</v>
      </c>
      <c r="AP92" s="59" t="s">
        <v>302</v>
      </c>
      <c r="AQ92" s="59"/>
      <c r="AR92" s="63" t="str">
        <f t="shared" ref="AR92:BF92" si="130">IF(AR9="","",AR91-$AP$4)</f>
        <v/>
      </c>
      <c r="AS92" s="63" t="str">
        <f t="shared" si="130"/>
        <v/>
      </c>
      <c r="AT92" s="63" t="str">
        <f t="shared" si="130"/>
        <v/>
      </c>
      <c r="AU92" s="63" t="str">
        <f t="shared" si="130"/>
        <v/>
      </c>
      <c r="AV92" s="63" t="str">
        <f t="shared" si="130"/>
        <v/>
      </c>
      <c r="AW92" s="63" t="str">
        <f t="shared" si="130"/>
        <v/>
      </c>
      <c r="AX92" s="63" t="str">
        <f t="shared" si="130"/>
        <v/>
      </c>
      <c r="AY92" s="63" t="str">
        <f t="shared" si="130"/>
        <v/>
      </c>
      <c r="AZ92" s="63" t="str">
        <f t="shared" si="130"/>
        <v/>
      </c>
      <c r="BA92" s="63" t="str">
        <f t="shared" si="130"/>
        <v/>
      </c>
      <c r="BB92" s="63" t="str">
        <f t="shared" si="130"/>
        <v/>
      </c>
      <c r="BC92" s="63" t="str">
        <f t="shared" si="130"/>
        <v/>
      </c>
      <c r="BD92" s="63" t="str">
        <f t="shared" si="130"/>
        <v/>
      </c>
      <c r="BE92" s="63" t="str">
        <f t="shared" si="130"/>
        <v/>
      </c>
      <c r="BF92" s="63" t="str">
        <f t="shared" si="130"/>
        <v/>
      </c>
      <c r="BI92" s="59" t="s">
        <v>35</v>
      </c>
      <c r="BJ92" s="59"/>
      <c r="BK92" s="63" t="e">
        <f t="shared" ref="BK92:BY92" si="131">IF(AR9="",NA(),AR91-$AP$4)</f>
        <v>#N/A</v>
      </c>
      <c r="BL92" s="63" t="e">
        <f t="shared" si="131"/>
        <v>#N/A</v>
      </c>
      <c r="BM92" s="63" t="e">
        <f t="shared" si="131"/>
        <v>#N/A</v>
      </c>
      <c r="BN92" s="63" t="e">
        <f t="shared" si="131"/>
        <v>#N/A</v>
      </c>
      <c r="BO92" s="63" t="e">
        <f t="shared" si="131"/>
        <v>#N/A</v>
      </c>
      <c r="BP92" s="63" t="e">
        <f t="shared" si="131"/>
        <v>#N/A</v>
      </c>
      <c r="BQ92" s="63" t="e">
        <f t="shared" si="131"/>
        <v>#N/A</v>
      </c>
      <c r="BR92" s="63" t="e">
        <f t="shared" si="131"/>
        <v>#N/A</v>
      </c>
      <c r="BS92" s="63" t="e">
        <f t="shared" si="131"/>
        <v>#N/A</v>
      </c>
      <c r="BT92" s="63" t="e">
        <f t="shared" si="131"/>
        <v>#N/A</v>
      </c>
      <c r="BU92" s="63" t="e">
        <f t="shared" si="131"/>
        <v>#N/A</v>
      </c>
      <c r="BV92" s="63" t="e">
        <f t="shared" si="131"/>
        <v>#N/A</v>
      </c>
      <c r="BW92" s="63" t="e">
        <f t="shared" si="131"/>
        <v>#N/A</v>
      </c>
      <c r="BX92" s="63" t="e">
        <f t="shared" si="131"/>
        <v>#N/A</v>
      </c>
      <c r="BY92" s="63" t="e">
        <f t="shared" si="131"/>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277</v>
      </c>
      <c r="AA93" s="49" t="e">
        <f>H120</f>
        <v>#DIV/0!</v>
      </c>
      <c r="AB93" s="49" t="e">
        <f>I120</f>
        <v>#DIV/0!</v>
      </c>
      <c r="AC93" s="49" t="e">
        <f t="shared" si="123"/>
        <v>#DIV/0!</v>
      </c>
      <c r="AD93" s="12"/>
      <c r="AP93" s="59" t="s">
        <v>303</v>
      </c>
      <c r="AQ93" s="59"/>
      <c r="AR93" s="63" t="str">
        <f t="shared" ref="AR93:BF93" si="132">IF(AR9="","",AR91+$AP$4)</f>
        <v/>
      </c>
      <c r="AS93" s="63" t="str">
        <f t="shared" si="132"/>
        <v/>
      </c>
      <c r="AT93" s="63" t="str">
        <f t="shared" si="132"/>
        <v/>
      </c>
      <c r="AU93" s="63" t="str">
        <f t="shared" si="132"/>
        <v/>
      </c>
      <c r="AV93" s="63" t="str">
        <f t="shared" si="132"/>
        <v/>
      </c>
      <c r="AW93" s="63" t="str">
        <f t="shared" si="132"/>
        <v/>
      </c>
      <c r="AX93" s="63" t="str">
        <f t="shared" si="132"/>
        <v/>
      </c>
      <c r="AY93" s="63" t="str">
        <f t="shared" si="132"/>
        <v/>
      </c>
      <c r="AZ93" s="63" t="str">
        <f t="shared" si="132"/>
        <v/>
      </c>
      <c r="BA93" s="63" t="str">
        <f t="shared" si="132"/>
        <v/>
      </c>
      <c r="BB93" s="63" t="str">
        <f t="shared" si="132"/>
        <v/>
      </c>
      <c r="BC93" s="63" t="str">
        <f t="shared" si="132"/>
        <v/>
      </c>
      <c r="BD93" s="63" t="str">
        <f t="shared" si="132"/>
        <v/>
      </c>
      <c r="BE93" s="63" t="str">
        <f t="shared" si="132"/>
        <v/>
      </c>
      <c r="BF93" s="63" t="str">
        <f t="shared" si="132"/>
        <v/>
      </c>
      <c r="BI93" s="59" t="s">
        <v>36</v>
      </c>
      <c r="BJ93" s="59"/>
      <c r="BK93" s="63" t="e">
        <f t="shared" ref="BK93:BY93" si="133">IF(AR9="",NA(),AR91+$AP$4)</f>
        <v>#N/A</v>
      </c>
      <c r="BL93" s="63" t="e">
        <f t="shared" si="133"/>
        <v>#N/A</v>
      </c>
      <c r="BM93" s="63" t="e">
        <f t="shared" si="133"/>
        <v>#N/A</v>
      </c>
      <c r="BN93" s="63" t="e">
        <f t="shared" si="133"/>
        <v>#N/A</v>
      </c>
      <c r="BO93" s="63" t="e">
        <f t="shared" si="133"/>
        <v>#N/A</v>
      </c>
      <c r="BP93" s="63" t="e">
        <f t="shared" si="133"/>
        <v>#N/A</v>
      </c>
      <c r="BQ93" s="63" t="e">
        <f t="shared" si="133"/>
        <v>#N/A</v>
      </c>
      <c r="BR93" s="63" t="e">
        <f t="shared" si="133"/>
        <v>#N/A</v>
      </c>
      <c r="BS93" s="63" t="e">
        <f t="shared" si="133"/>
        <v>#N/A</v>
      </c>
      <c r="BT93" s="63" t="e">
        <f t="shared" si="133"/>
        <v>#N/A</v>
      </c>
      <c r="BU93" s="63" t="e">
        <f t="shared" si="133"/>
        <v>#N/A</v>
      </c>
      <c r="BV93" s="63" t="e">
        <f t="shared" si="133"/>
        <v>#N/A</v>
      </c>
      <c r="BW93" s="63" t="e">
        <f t="shared" si="133"/>
        <v>#N/A</v>
      </c>
      <c r="BX93" s="63" t="e">
        <f t="shared" si="133"/>
        <v>#N/A</v>
      </c>
      <c r="BY93" s="63" t="e">
        <f t="shared" si="133"/>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278</v>
      </c>
      <c r="AA94" s="49" t="e">
        <f>H125</f>
        <v>#DIV/0!</v>
      </c>
      <c r="AB94" s="49" t="e">
        <f>I125</f>
        <v>#DIV/0!</v>
      </c>
      <c r="AC94" s="49" t="e">
        <f t="shared" si="123"/>
        <v>#DIV/0!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279</v>
      </c>
      <c r="AA95" s="49" t="e">
        <f>H130</f>
        <v>#DIV/0!</v>
      </c>
      <c r="AB95" s="49" t="e">
        <f>I130</f>
        <v>#DIV/0!</v>
      </c>
      <c r="AC95" s="49" t="e">
        <f t="shared" si="123"/>
        <v>#DIV/0!</v>
      </c>
      <c r="AP95" s="67" t="s">
        <v>304</v>
      </c>
      <c r="AQ95" s="59"/>
      <c r="AR95" s="63" t="str">
        <f t="shared" ref="AR95:BF95" si="134">IF(AR9="","",AR9*AR91)</f>
        <v/>
      </c>
      <c r="AS95" s="63" t="str">
        <f t="shared" si="134"/>
        <v/>
      </c>
      <c r="AT95" s="63" t="str">
        <f t="shared" si="134"/>
        <v/>
      </c>
      <c r="AU95" s="63" t="str">
        <f t="shared" si="134"/>
        <v/>
      </c>
      <c r="AV95" s="63" t="str">
        <f t="shared" si="134"/>
        <v/>
      </c>
      <c r="AW95" s="63" t="str">
        <f t="shared" si="134"/>
        <v/>
      </c>
      <c r="AX95" s="63" t="str">
        <f t="shared" si="134"/>
        <v/>
      </c>
      <c r="AY95" s="63" t="str">
        <f t="shared" si="134"/>
        <v/>
      </c>
      <c r="AZ95" s="63" t="str">
        <f t="shared" si="134"/>
        <v/>
      </c>
      <c r="BA95" s="63" t="str">
        <f t="shared" si="134"/>
        <v/>
      </c>
      <c r="BB95" s="63" t="str">
        <f t="shared" si="134"/>
        <v/>
      </c>
      <c r="BC95" s="63" t="str">
        <f t="shared" si="134"/>
        <v/>
      </c>
      <c r="BD95" s="63" t="str">
        <f t="shared" si="134"/>
        <v/>
      </c>
      <c r="BE95" s="63" t="str">
        <f t="shared" si="134"/>
        <v/>
      </c>
      <c r="BF95" s="63" t="str">
        <f t="shared" si="134"/>
        <v/>
      </c>
      <c r="BI95" s="67" t="s">
        <v>252</v>
      </c>
      <c r="BJ95" s="59"/>
      <c r="BK95" s="63" t="e">
        <f t="shared" ref="BK95:BY95" si="135">IF(AR9="",NA(),AR9*AR91)</f>
        <v>#N/A</v>
      </c>
      <c r="BL95" s="63" t="e">
        <f t="shared" si="135"/>
        <v>#N/A</v>
      </c>
      <c r="BM95" s="63" t="e">
        <f t="shared" si="135"/>
        <v>#N/A</v>
      </c>
      <c r="BN95" s="63" t="e">
        <f t="shared" si="135"/>
        <v>#N/A</v>
      </c>
      <c r="BO95" s="63" t="e">
        <f t="shared" si="135"/>
        <v>#N/A</v>
      </c>
      <c r="BP95" s="63" t="e">
        <f t="shared" si="135"/>
        <v>#N/A</v>
      </c>
      <c r="BQ95" s="63" t="e">
        <f t="shared" si="135"/>
        <v>#N/A</v>
      </c>
      <c r="BR95" s="63" t="e">
        <f t="shared" si="135"/>
        <v>#N/A</v>
      </c>
      <c r="BS95" s="63" t="e">
        <f t="shared" si="135"/>
        <v>#N/A</v>
      </c>
      <c r="BT95" s="63" t="e">
        <f t="shared" si="135"/>
        <v>#N/A</v>
      </c>
      <c r="BU95" s="63" t="e">
        <f t="shared" si="135"/>
        <v>#N/A</v>
      </c>
      <c r="BV95" s="63" t="e">
        <f t="shared" si="135"/>
        <v>#N/A</v>
      </c>
      <c r="BW95" s="63" t="e">
        <f t="shared" si="135"/>
        <v>#N/A</v>
      </c>
      <c r="BX95" s="63" t="e">
        <f t="shared" si="135"/>
        <v>#N/A</v>
      </c>
      <c r="BY95" s="63" t="e">
        <f t="shared" si="135"/>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280</v>
      </c>
      <c r="AA96" s="49" t="e">
        <f>H135</f>
        <v>#DIV/0!</v>
      </c>
      <c r="AB96" s="49" t="e">
        <f>I135</f>
        <v>#DIV/0!</v>
      </c>
      <c r="AC96" s="49" t="e">
        <f t="shared" si="123"/>
        <v>#DIV/0!</v>
      </c>
      <c r="AE96" s="49"/>
      <c r="AP96" s="59" t="s">
        <v>305</v>
      </c>
      <c r="AQ96" s="59"/>
      <c r="AR96" s="63" t="str">
        <f t="shared" ref="AR96:BF96" si="136">IF(AR9="","",AR9*AR92)</f>
        <v/>
      </c>
      <c r="AS96" s="63" t="str">
        <f t="shared" si="136"/>
        <v/>
      </c>
      <c r="AT96" s="63" t="str">
        <f t="shared" si="136"/>
        <v/>
      </c>
      <c r="AU96" s="63" t="str">
        <f t="shared" si="136"/>
        <v/>
      </c>
      <c r="AV96" s="63" t="str">
        <f t="shared" si="136"/>
        <v/>
      </c>
      <c r="AW96" s="63" t="str">
        <f t="shared" si="136"/>
        <v/>
      </c>
      <c r="AX96" s="63" t="str">
        <f t="shared" si="136"/>
        <v/>
      </c>
      <c r="AY96" s="63" t="str">
        <f t="shared" si="136"/>
        <v/>
      </c>
      <c r="AZ96" s="63" t="str">
        <f t="shared" si="136"/>
        <v/>
      </c>
      <c r="BA96" s="63" t="str">
        <f t="shared" si="136"/>
        <v/>
      </c>
      <c r="BB96" s="63" t="str">
        <f t="shared" si="136"/>
        <v/>
      </c>
      <c r="BC96" s="63" t="str">
        <f t="shared" si="136"/>
        <v/>
      </c>
      <c r="BD96" s="63" t="str">
        <f t="shared" si="136"/>
        <v/>
      </c>
      <c r="BE96" s="63" t="str">
        <f t="shared" si="136"/>
        <v/>
      </c>
      <c r="BF96" s="63" t="str">
        <f t="shared" si="136"/>
        <v/>
      </c>
      <c r="BI96" s="59" t="s">
        <v>253</v>
      </c>
      <c r="BJ96" s="59"/>
      <c r="BK96" s="63" t="e">
        <f t="shared" ref="BK96:BY96" si="137">IF(AR9="",NA(),AR9*AR92)</f>
        <v>#N/A</v>
      </c>
      <c r="BL96" s="63" t="e">
        <f t="shared" si="137"/>
        <v>#N/A</v>
      </c>
      <c r="BM96" s="63" t="e">
        <f t="shared" si="137"/>
        <v>#N/A</v>
      </c>
      <c r="BN96" s="63" t="e">
        <f t="shared" si="137"/>
        <v>#N/A</v>
      </c>
      <c r="BO96" s="63" t="e">
        <f t="shared" si="137"/>
        <v>#N/A</v>
      </c>
      <c r="BP96" s="63" t="e">
        <f t="shared" si="137"/>
        <v>#N/A</v>
      </c>
      <c r="BQ96" s="63" t="e">
        <f t="shared" si="137"/>
        <v>#N/A</v>
      </c>
      <c r="BR96" s="63" t="e">
        <f t="shared" si="137"/>
        <v>#N/A</v>
      </c>
      <c r="BS96" s="63" t="e">
        <f t="shared" si="137"/>
        <v>#N/A</v>
      </c>
      <c r="BT96" s="63" t="e">
        <f t="shared" si="137"/>
        <v>#N/A</v>
      </c>
      <c r="BU96" s="63" t="e">
        <f t="shared" si="137"/>
        <v>#N/A</v>
      </c>
      <c r="BV96" s="63" t="e">
        <f t="shared" si="137"/>
        <v>#N/A</v>
      </c>
      <c r="BW96" s="63" t="e">
        <f t="shared" si="137"/>
        <v>#N/A</v>
      </c>
      <c r="BX96" s="63" t="e">
        <f t="shared" si="137"/>
        <v>#N/A</v>
      </c>
      <c r="BY96" s="63" t="e">
        <f t="shared" si="137"/>
        <v>#N/A</v>
      </c>
    </row>
    <row r="97" spans="1:77" x14ac:dyDescent="0.5">
      <c r="A97" s="49"/>
      <c r="B97" s="62">
        <v>0.68</v>
      </c>
      <c r="C97" s="62" t="e">
        <f t="shared" ref="C97:C128" si="138">I97/$U$66</f>
        <v>#DIV/0!</v>
      </c>
      <c r="D97" s="62" t="e">
        <f t="shared" ref="D97:D128" si="139">L97/$U$67</f>
        <v>#DIV/0!</v>
      </c>
      <c r="E97" s="59">
        <f t="shared" si="92"/>
        <v>68</v>
      </c>
      <c r="F97" s="59" t="e">
        <f t="shared" si="93"/>
        <v>#DIV/0!</v>
      </c>
      <c r="G97" s="59" t="e">
        <f t="shared" si="94"/>
        <v>#DIV/0!</v>
      </c>
      <c r="H97" s="62" t="e">
        <f t="shared" ref="H97:H128" si="140">IF(OR($Z$64=1,$Z$64=2,$Z$64=3),$U$64*B97,IF($Z$64=4,T142,IF($Z$64=5,AI195,NA())))</f>
        <v>#DIV/0!</v>
      </c>
      <c r="I97" s="62" t="e">
        <f t="shared" ref="I97:I128" si="141">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281</v>
      </c>
      <c r="AA97" s="49" t="e">
        <f>H140</f>
        <v>#DIV/0!</v>
      </c>
      <c r="AB97" s="49" t="e">
        <f>I140</f>
        <v>#DIV/0!</v>
      </c>
      <c r="AC97" s="49" t="e">
        <f t="shared" si="123"/>
        <v>#DIV/0!</v>
      </c>
      <c r="AP97" s="59" t="s">
        <v>306</v>
      </c>
      <c r="AQ97" s="59"/>
      <c r="AR97" s="63" t="str">
        <f t="shared" ref="AR97:BF97" si="142">IF(AR9="","",AR9*AR93)</f>
        <v/>
      </c>
      <c r="AS97" s="63" t="str">
        <f t="shared" si="142"/>
        <v/>
      </c>
      <c r="AT97" s="63" t="str">
        <f t="shared" si="142"/>
        <v/>
      </c>
      <c r="AU97" s="63" t="str">
        <f t="shared" si="142"/>
        <v/>
      </c>
      <c r="AV97" s="63" t="str">
        <f t="shared" si="142"/>
        <v/>
      </c>
      <c r="AW97" s="63" t="str">
        <f t="shared" si="142"/>
        <v/>
      </c>
      <c r="AX97" s="63" t="str">
        <f t="shared" si="142"/>
        <v/>
      </c>
      <c r="AY97" s="63" t="str">
        <f t="shared" si="142"/>
        <v/>
      </c>
      <c r="AZ97" s="63" t="str">
        <f t="shared" si="142"/>
        <v/>
      </c>
      <c r="BA97" s="63" t="str">
        <f t="shared" si="142"/>
        <v/>
      </c>
      <c r="BB97" s="63" t="str">
        <f t="shared" si="142"/>
        <v/>
      </c>
      <c r="BC97" s="63" t="str">
        <f t="shared" si="142"/>
        <v/>
      </c>
      <c r="BD97" s="63" t="str">
        <f t="shared" si="142"/>
        <v/>
      </c>
      <c r="BE97" s="63" t="str">
        <f t="shared" si="142"/>
        <v/>
      </c>
      <c r="BF97" s="63" t="str">
        <f t="shared" si="142"/>
        <v/>
      </c>
      <c r="BI97" s="59" t="s">
        <v>254</v>
      </c>
      <c r="BJ97" s="59"/>
      <c r="BK97" s="63" t="e">
        <f t="shared" ref="BK97:BY97" si="143">IF(AR9="",NA(),AR9*AR93)</f>
        <v>#N/A</v>
      </c>
      <c r="BL97" s="63" t="e">
        <f t="shared" si="143"/>
        <v>#N/A</v>
      </c>
      <c r="BM97" s="63" t="e">
        <f t="shared" si="143"/>
        <v>#N/A</v>
      </c>
      <c r="BN97" s="63" t="e">
        <f t="shared" si="143"/>
        <v>#N/A</v>
      </c>
      <c r="BO97" s="63" t="e">
        <f t="shared" si="143"/>
        <v>#N/A</v>
      </c>
      <c r="BP97" s="63" t="e">
        <f t="shared" si="143"/>
        <v>#N/A</v>
      </c>
      <c r="BQ97" s="63" t="e">
        <f t="shared" si="143"/>
        <v>#N/A</v>
      </c>
      <c r="BR97" s="63" t="e">
        <f t="shared" si="143"/>
        <v>#N/A</v>
      </c>
      <c r="BS97" s="63" t="e">
        <f t="shared" si="143"/>
        <v>#N/A</v>
      </c>
      <c r="BT97" s="63" t="e">
        <f t="shared" si="143"/>
        <v>#N/A</v>
      </c>
      <c r="BU97" s="63" t="e">
        <f t="shared" si="143"/>
        <v>#N/A</v>
      </c>
      <c r="BV97" s="63" t="e">
        <f t="shared" si="143"/>
        <v>#N/A</v>
      </c>
      <c r="BW97" s="63" t="e">
        <f t="shared" si="143"/>
        <v>#N/A</v>
      </c>
      <c r="BX97" s="63" t="e">
        <f t="shared" si="143"/>
        <v>#N/A</v>
      </c>
      <c r="BY97" s="63" t="e">
        <f t="shared" si="143"/>
        <v>#N/A</v>
      </c>
    </row>
    <row r="98" spans="1:77" x14ac:dyDescent="0.5">
      <c r="A98" s="49"/>
      <c r="B98" s="62">
        <v>0.67</v>
      </c>
      <c r="C98" s="62" t="e">
        <f t="shared" si="138"/>
        <v>#DIV/0!</v>
      </c>
      <c r="D98" s="62" t="e">
        <f t="shared" si="139"/>
        <v>#DIV/0!</v>
      </c>
      <c r="E98" s="59">
        <f t="shared" si="92"/>
        <v>67</v>
      </c>
      <c r="F98" s="59" t="e">
        <f t="shared" si="93"/>
        <v>#DIV/0!</v>
      </c>
      <c r="G98" s="59" t="e">
        <f t="shared" si="94"/>
        <v>#DIV/0!</v>
      </c>
      <c r="H98" s="62" t="e">
        <f t="shared" si="140"/>
        <v>#DIV/0!</v>
      </c>
      <c r="I98" s="62" t="e">
        <f t="shared" si="141"/>
        <v>#DIV/0!</v>
      </c>
      <c r="J98" s="62" t="e">
        <f t="shared" si="95"/>
        <v>#DIV/0!</v>
      </c>
      <c r="K98" s="62" t="e">
        <f t="shared" si="96"/>
        <v>#DIV/0!</v>
      </c>
      <c r="L98" s="62" t="e">
        <f t="shared" si="97"/>
        <v>#DIV/0!</v>
      </c>
      <c r="M98" s="62" t="e">
        <f t="shared" si="98"/>
        <v>#DIV/0!</v>
      </c>
      <c r="N98" s="62" t="e">
        <f t="shared" si="99"/>
        <v>#DIV/0!</v>
      </c>
      <c r="O98" s="17" t="e">
        <f t="shared" si="106"/>
        <v>#DIV/0!</v>
      </c>
      <c r="Z98" s="17" t="s">
        <v>282</v>
      </c>
      <c r="AA98" s="49" t="e">
        <f>H145</f>
        <v>#DIV/0!</v>
      </c>
      <c r="AB98" s="49" t="e">
        <f>I145</f>
        <v>#DIV/0!</v>
      </c>
      <c r="AC98" s="49" t="e">
        <f t="shared" si="123"/>
        <v>#DIV/0!</v>
      </c>
    </row>
    <row r="99" spans="1:77" x14ac:dyDescent="0.5">
      <c r="A99" s="49"/>
      <c r="B99" s="62">
        <v>0.66</v>
      </c>
      <c r="C99" s="62" t="e">
        <f t="shared" si="138"/>
        <v>#DIV/0!</v>
      </c>
      <c r="D99" s="62" t="e">
        <f t="shared" si="139"/>
        <v>#DIV/0!</v>
      </c>
      <c r="E99" s="59">
        <f t="shared" si="92"/>
        <v>66</v>
      </c>
      <c r="F99" s="59" t="e">
        <f t="shared" si="93"/>
        <v>#DIV/0!</v>
      </c>
      <c r="G99" s="59" t="e">
        <f t="shared" si="94"/>
        <v>#DIV/0!</v>
      </c>
      <c r="H99" s="62" t="e">
        <f t="shared" si="140"/>
        <v>#DIV/0!</v>
      </c>
      <c r="I99" s="62" t="e">
        <f t="shared" si="141"/>
        <v>#DIV/0!</v>
      </c>
      <c r="J99" s="62" t="e">
        <f t="shared" si="95"/>
        <v>#DIV/0!</v>
      </c>
      <c r="K99" s="62" t="e">
        <f t="shared" si="96"/>
        <v>#DIV/0!</v>
      </c>
      <c r="L99" s="62" t="e">
        <f t="shared" si="97"/>
        <v>#DIV/0!</v>
      </c>
      <c r="M99" s="62" t="e">
        <f t="shared" si="98"/>
        <v>#DIV/0!</v>
      </c>
      <c r="N99" s="62" t="e">
        <f t="shared" si="99"/>
        <v>#DIV/0!</v>
      </c>
      <c r="O99" s="17" t="e">
        <f t="shared" si="106"/>
        <v>#DIV/0!</v>
      </c>
      <c r="Z99" s="17" t="s">
        <v>283</v>
      </c>
      <c r="AA99" s="49" t="e">
        <f>H150</f>
        <v>#DIV/0!</v>
      </c>
      <c r="AB99" s="49" t="e">
        <f>I150</f>
        <v>#DIV/0!</v>
      </c>
      <c r="AC99" s="49" t="e">
        <f t="shared" si="123"/>
        <v>#DIV/0!</v>
      </c>
      <c r="AP99" s="53" t="s">
        <v>41</v>
      </c>
      <c r="BI99" s="53" t="s">
        <v>41</v>
      </c>
    </row>
    <row r="100" spans="1:77" x14ac:dyDescent="0.5">
      <c r="A100" s="49"/>
      <c r="B100" s="62">
        <v>0.65</v>
      </c>
      <c r="C100" s="62" t="e">
        <f t="shared" si="138"/>
        <v>#DIV/0!</v>
      </c>
      <c r="D100" s="62" t="e">
        <f t="shared" si="139"/>
        <v>#DIV/0!</v>
      </c>
      <c r="E100" s="59">
        <f t="shared" si="92"/>
        <v>65</v>
      </c>
      <c r="F100" s="59" t="e">
        <f t="shared" si="93"/>
        <v>#DIV/0!</v>
      </c>
      <c r="G100" s="59" t="e">
        <f t="shared" si="94"/>
        <v>#DIV/0!</v>
      </c>
      <c r="H100" s="62" t="e">
        <f t="shared" si="140"/>
        <v>#DIV/0!</v>
      </c>
      <c r="I100" s="62" t="e">
        <f t="shared" si="141"/>
        <v>#DIV/0!</v>
      </c>
      <c r="J100" s="62" t="e">
        <f t="shared" si="95"/>
        <v>#DIV/0!</v>
      </c>
      <c r="K100" s="62" t="e">
        <f t="shared" si="96"/>
        <v>#DIV/0!</v>
      </c>
      <c r="L100" s="62" t="e">
        <f t="shared" si="97"/>
        <v>#DIV/0!</v>
      </c>
      <c r="M100" s="62" t="e">
        <f t="shared" si="98"/>
        <v>#DIV/0!</v>
      </c>
      <c r="N100" s="62" t="e">
        <f t="shared" si="99"/>
        <v>#DIV/0!</v>
      </c>
      <c r="O100" s="17" t="e">
        <f t="shared" si="106"/>
        <v>#DIV/0!</v>
      </c>
      <c r="R100" s="12"/>
      <c r="Z100" s="17" t="s">
        <v>284</v>
      </c>
      <c r="AA100" s="49" t="e">
        <f>H155</f>
        <v>#DIV/0!</v>
      </c>
      <c r="AB100" s="49" t="e">
        <f>I155</f>
        <v>#DIV/0!</v>
      </c>
      <c r="AC100" s="49" t="e">
        <f t="shared" si="123"/>
        <v>#DIV/0!</v>
      </c>
      <c r="AN100" s="12"/>
      <c r="AP100" s="65" t="s">
        <v>250</v>
      </c>
      <c r="AQ100" s="59"/>
      <c r="AR100" s="63" t="str">
        <f t="shared" ref="AR100:BF100" si="144">IF(AR$79=0,AR9,"")</f>
        <v/>
      </c>
      <c r="AS100" s="63" t="str">
        <f t="shared" si="144"/>
        <v/>
      </c>
      <c r="AT100" s="63" t="str">
        <f t="shared" si="144"/>
        <v/>
      </c>
      <c r="AU100" s="63" t="str">
        <f t="shared" si="144"/>
        <v/>
      </c>
      <c r="AV100" s="63" t="str">
        <f t="shared" si="144"/>
        <v/>
      </c>
      <c r="AW100" s="63" t="str">
        <f t="shared" si="144"/>
        <v/>
      </c>
      <c r="AX100" s="63" t="str">
        <f t="shared" si="144"/>
        <v/>
      </c>
      <c r="AY100" s="63" t="str">
        <f t="shared" si="144"/>
        <v/>
      </c>
      <c r="AZ100" s="63" t="str">
        <f t="shared" si="144"/>
        <v/>
      </c>
      <c r="BA100" s="63" t="str">
        <f t="shared" si="144"/>
        <v/>
      </c>
      <c r="BB100" s="63" t="str">
        <f t="shared" si="144"/>
        <v/>
      </c>
      <c r="BC100" s="63" t="str">
        <f t="shared" si="144"/>
        <v/>
      </c>
      <c r="BD100" s="63" t="str">
        <f t="shared" si="144"/>
        <v/>
      </c>
      <c r="BE100" s="63" t="str">
        <f t="shared" si="144"/>
        <v/>
      </c>
      <c r="BF100" s="63" t="str">
        <f t="shared" si="144"/>
        <v/>
      </c>
      <c r="BI100" s="65" t="s">
        <v>250</v>
      </c>
      <c r="BJ100" s="59"/>
      <c r="BK100" s="63" t="e">
        <f t="shared" ref="BK100:BY102" si="145">IF(AR$79=0,AR9,NA())</f>
        <v>#N/A</v>
      </c>
      <c r="BL100" s="63" t="e">
        <f t="shared" si="145"/>
        <v>#N/A</v>
      </c>
      <c r="BM100" s="63" t="e">
        <f t="shared" si="145"/>
        <v>#N/A</v>
      </c>
      <c r="BN100" s="63" t="e">
        <f t="shared" si="145"/>
        <v>#N/A</v>
      </c>
      <c r="BO100" s="63" t="e">
        <f t="shared" si="145"/>
        <v>#N/A</v>
      </c>
      <c r="BP100" s="63" t="e">
        <f t="shared" si="145"/>
        <v>#N/A</v>
      </c>
      <c r="BQ100" s="63" t="e">
        <f t="shared" si="145"/>
        <v>#N/A</v>
      </c>
      <c r="BR100" s="63" t="e">
        <f t="shared" si="145"/>
        <v>#N/A</v>
      </c>
      <c r="BS100" s="63" t="e">
        <f t="shared" si="145"/>
        <v>#N/A</v>
      </c>
      <c r="BT100" s="63" t="e">
        <f t="shared" si="145"/>
        <v>#N/A</v>
      </c>
      <c r="BU100" s="63" t="e">
        <f t="shared" si="145"/>
        <v>#N/A</v>
      </c>
      <c r="BV100" s="63" t="e">
        <f t="shared" si="145"/>
        <v>#N/A</v>
      </c>
      <c r="BW100" s="63" t="e">
        <f t="shared" si="145"/>
        <v>#N/A</v>
      </c>
      <c r="BX100" s="63" t="e">
        <f t="shared" si="145"/>
        <v>#N/A</v>
      </c>
      <c r="BY100" s="63" t="e">
        <f t="shared" si="145"/>
        <v>#N/A</v>
      </c>
    </row>
    <row r="101" spans="1:77" x14ac:dyDescent="0.5">
      <c r="A101" s="49"/>
      <c r="B101" s="62">
        <v>0.64</v>
      </c>
      <c r="C101" s="62" t="e">
        <f t="shared" si="138"/>
        <v>#DIV/0!</v>
      </c>
      <c r="D101" s="62" t="e">
        <f t="shared" si="139"/>
        <v>#DIV/0!</v>
      </c>
      <c r="E101" s="59">
        <f t="shared" si="92"/>
        <v>64</v>
      </c>
      <c r="F101" s="59" t="e">
        <f t="shared" si="93"/>
        <v>#DIV/0!</v>
      </c>
      <c r="G101" s="59" t="e">
        <f t="shared" si="94"/>
        <v>#DIV/0!</v>
      </c>
      <c r="H101" s="62" t="e">
        <f t="shared" si="140"/>
        <v>#DIV/0!</v>
      </c>
      <c r="I101" s="62" t="e">
        <f t="shared" si="141"/>
        <v>#DIV/0!</v>
      </c>
      <c r="J101" s="62" t="e">
        <f t="shared" si="95"/>
        <v>#DIV/0!</v>
      </c>
      <c r="K101" s="62" t="e">
        <f t="shared" si="96"/>
        <v>#DIV/0!</v>
      </c>
      <c r="L101" s="62" t="e">
        <f t="shared" si="97"/>
        <v>#DIV/0!</v>
      </c>
      <c r="M101" s="62" t="e">
        <f t="shared" si="98"/>
        <v>#DIV/0!</v>
      </c>
      <c r="N101" s="62" t="e">
        <f t="shared" si="99"/>
        <v>#DIV/0!</v>
      </c>
      <c r="O101" s="17" t="e">
        <f t="shared" si="106"/>
        <v>#DIV/0!</v>
      </c>
      <c r="Z101" s="17" t="s">
        <v>285</v>
      </c>
      <c r="AA101" s="49" t="e">
        <f>H160</f>
        <v>#DIV/0!</v>
      </c>
      <c r="AB101" s="49" t="e">
        <f>I160</f>
        <v>#DIV/0!</v>
      </c>
      <c r="AC101" s="49" t="e">
        <f t="shared" si="123"/>
        <v>#DIV/0!</v>
      </c>
      <c r="AN101" s="55"/>
      <c r="AP101" s="67" t="s">
        <v>15</v>
      </c>
      <c r="AQ101" s="59"/>
      <c r="AR101" s="63" t="str">
        <f t="shared" ref="AR101:BF101" si="146">IF(AR$79=0,AR10,"")</f>
        <v/>
      </c>
      <c r="AS101" s="63" t="str">
        <f t="shared" si="146"/>
        <v/>
      </c>
      <c r="AT101" s="63" t="str">
        <f t="shared" si="146"/>
        <v/>
      </c>
      <c r="AU101" s="63" t="str">
        <f t="shared" si="146"/>
        <v/>
      </c>
      <c r="AV101" s="63" t="str">
        <f t="shared" si="146"/>
        <v/>
      </c>
      <c r="AW101" s="63" t="str">
        <f t="shared" si="146"/>
        <v/>
      </c>
      <c r="AX101" s="63" t="str">
        <f t="shared" si="146"/>
        <v/>
      </c>
      <c r="AY101" s="63" t="str">
        <f t="shared" si="146"/>
        <v/>
      </c>
      <c r="AZ101" s="63" t="str">
        <f t="shared" si="146"/>
        <v/>
      </c>
      <c r="BA101" s="63" t="str">
        <f t="shared" si="146"/>
        <v/>
      </c>
      <c r="BB101" s="63" t="str">
        <f t="shared" si="146"/>
        <v/>
      </c>
      <c r="BC101" s="63" t="str">
        <f t="shared" si="146"/>
        <v/>
      </c>
      <c r="BD101" s="63" t="str">
        <f t="shared" si="146"/>
        <v/>
      </c>
      <c r="BE101" s="63" t="str">
        <f t="shared" si="146"/>
        <v/>
      </c>
      <c r="BF101" s="63" t="str">
        <f t="shared" si="146"/>
        <v/>
      </c>
      <c r="BI101" s="67" t="s">
        <v>15</v>
      </c>
      <c r="BJ101" s="59"/>
      <c r="BK101" s="63" t="e">
        <f t="shared" si="145"/>
        <v>#N/A</v>
      </c>
      <c r="BL101" s="63" t="e">
        <f t="shared" si="145"/>
        <v>#N/A</v>
      </c>
      <c r="BM101" s="63" t="e">
        <f t="shared" si="145"/>
        <v>#N/A</v>
      </c>
      <c r="BN101" s="63" t="e">
        <f t="shared" si="145"/>
        <v>#N/A</v>
      </c>
      <c r="BO101" s="63" t="e">
        <f t="shared" si="145"/>
        <v>#N/A</v>
      </c>
      <c r="BP101" s="63" t="e">
        <f t="shared" si="145"/>
        <v>#N/A</v>
      </c>
      <c r="BQ101" s="63" t="e">
        <f t="shared" si="145"/>
        <v>#N/A</v>
      </c>
      <c r="BR101" s="63" t="e">
        <f t="shared" si="145"/>
        <v>#N/A</v>
      </c>
      <c r="BS101" s="63" t="e">
        <f t="shared" si="145"/>
        <v>#N/A</v>
      </c>
      <c r="BT101" s="63" t="e">
        <f t="shared" si="145"/>
        <v>#N/A</v>
      </c>
      <c r="BU101" s="63" t="e">
        <f t="shared" si="145"/>
        <v>#N/A</v>
      </c>
      <c r="BV101" s="63" t="e">
        <f t="shared" si="145"/>
        <v>#N/A</v>
      </c>
      <c r="BW101" s="63" t="e">
        <f t="shared" si="145"/>
        <v>#N/A</v>
      </c>
      <c r="BX101" s="63" t="e">
        <f t="shared" si="145"/>
        <v>#N/A</v>
      </c>
      <c r="BY101" s="63" t="e">
        <f t="shared" si="145"/>
        <v>#N/A</v>
      </c>
    </row>
    <row r="102" spans="1:77" x14ac:dyDescent="0.5">
      <c r="A102" s="49"/>
      <c r="B102" s="62">
        <v>0.63</v>
      </c>
      <c r="C102" s="62" t="e">
        <f t="shared" si="138"/>
        <v>#DIV/0!</v>
      </c>
      <c r="D102" s="62" t="e">
        <f t="shared" si="139"/>
        <v>#DIV/0!</v>
      </c>
      <c r="E102" s="59">
        <f t="shared" si="92"/>
        <v>63</v>
      </c>
      <c r="F102" s="59" t="e">
        <f t="shared" si="93"/>
        <v>#DIV/0!</v>
      </c>
      <c r="G102" s="59" t="e">
        <f t="shared" si="94"/>
        <v>#DIV/0!</v>
      </c>
      <c r="H102" s="62" t="e">
        <f t="shared" si="140"/>
        <v>#DIV/0!</v>
      </c>
      <c r="I102" s="62" t="e">
        <f t="shared" si="141"/>
        <v>#DIV/0!</v>
      </c>
      <c r="J102" s="62" t="e">
        <f t="shared" si="95"/>
        <v>#DIV/0!</v>
      </c>
      <c r="K102" s="62" t="e">
        <f t="shared" si="96"/>
        <v>#DIV/0!</v>
      </c>
      <c r="L102" s="62" t="e">
        <f t="shared" si="97"/>
        <v>#DIV/0!</v>
      </c>
      <c r="M102" s="62" t="e">
        <f t="shared" si="98"/>
        <v>#DIV/0!</v>
      </c>
      <c r="N102" s="62" t="e">
        <f t="shared" si="99"/>
        <v>#DIV/0!</v>
      </c>
      <c r="O102" s="17" t="e">
        <f t="shared" si="106"/>
        <v>#DIV/0!</v>
      </c>
      <c r="Z102" s="17" t="s">
        <v>286</v>
      </c>
      <c r="AA102" s="49" t="e">
        <f>H165</f>
        <v>#DIV/0!</v>
      </c>
      <c r="AB102" s="49" t="e">
        <f>I165</f>
        <v>#DIV/0!</v>
      </c>
      <c r="AC102" s="49" t="e">
        <f t="shared" si="123"/>
        <v>#DIV/0!</v>
      </c>
      <c r="AN102" s="55"/>
      <c r="AP102" s="67" t="s">
        <v>261</v>
      </c>
      <c r="AQ102" s="59"/>
      <c r="AR102" s="63" t="str">
        <f t="shared" ref="AR102:BF102" si="147">IF(AR$79=0,AR11,"")</f>
        <v/>
      </c>
      <c r="AS102" s="63" t="str">
        <f t="shared" si="147"/>
        <v/>
      </c>
      <c r="AT102" s="63" t="str">
        <f t="shared" si="147"/>
        <v/>
      </c>
      <c r="AU102" s="63" t="str">
        <f t="shared" si="147"/>
        <v/>
      </c>
      <c r="AV102" s="63" t="str">
        <f t="shared" si="147"/>
        <v/>
      </c>
      <c r="AW102" s="63" t="str">
        <f t="shared" si="147"/>
        <v/>
      </c>
      <c r="AX102" s="63" t="str">
        <f t="shared" si="147"/>
        <v/>
      </c>
      <c r="AY102" s="63" t="str">
        <f t="shared" si="147"/>
        <v/>
      </c>
      <c r="AZ102" s="63" t="str">
        <f t="shared" si="147"/>
        <v/>
      </c>
      <c r="BA102" s="63" t="str">
        <f t="shared" si="147"/>
        <v/>
      </c>
      <c r="BB102" s="63" t="str">
        <f t="shared" si="147"/>
        <v/>
      </c>
      <c r="BC102" s="63" t="str">
        <f t="shared" si="147"/>
        <v/>
      </c>
      <c r="BD102" s="63" t="str">
        <f t="shared" si="147"/>
        <v/>
      </c>
      <c r="BE102" s="63" t="str">
        <f t="shared" si="147"/>
        <v/>
      </c>
      <c r="BF102" s="63" t="str">
        <f t="shared" si="147"/>
        <v/>
      </c>
      <c r="BI102" s="67" t="s">
        <v>251</v>
      </c>
      <c r="BJ102" s="59"/>
      <c r="BK102" s="63" t="e">
        <f t="shared" si="145"/>
        <v>#N/A</v>
      </c>
      <c r="BL102" s="63" t="e">
        <f t="shared" si="145"/>
        <v>#N/A</v>
      </c>
      <c r="BM102" s="63" t="e">
        <f t="shared" si="145"/>
        <v>#N/A</v>
      </c>
      <c r="BN102" s="63" t="e">
        <f t="shared" si="145"/>
        <v>#N/A</v>
      </c>
      <c r="BO102" s="63" t="e">
        <f t="shared" si="145"/>
        <v>#N/A</v>
      </c>
      <c r="BP102" s="63" t="e">
        <f t="shared" si="145"/>
        <v>#N/A</v>
      </c>
      <c r="BQ102" s="63" t="e">
        <f t="shared" si="145"/>
        <v>#N/A</v>
      </c>
      <c r="BR102" s="63" t="e">
        <f t="shared" si="145"/>
        <v>#N/A</v>
      </c>
      <c r="BS102" s="63" t="e">
        <f t="shared" si="145"/>
        <v>#N/A</v>
      </c>
      <c r="BT102" s="63" t="e">
        <f t="shared" si="145"/>
        <v>#N/A</v>
      </c>
      <c r="BU102" s="63" t="e">
        <f t="shared" si="145"/>
        <v>#N/A</v>
      </c>
      <c r="BV102" s="63" t="e">
        <f t="shared" si="145"/>
        <v>#N/A</v>
      </c>
      <c r="BW102" s="63" t="e">
        <f t="shared" si="145"/>
        <v>#N/A</v>
      </c>
      <c r="BX102" s="63" t="e">
        <f t="shared" si="145"/>
        <v>#N/A</v>
      </c>
      <c r="BY102" s="63" t="e">
        <f t="shared" si="145"/>
        <v>#N/A</v>
      </c>
    </row>
    <row r="103" spans="1:77" x14ac:dyDescent="0.5">
      <c r="A103" s="49"/>
      <c r="B103" s="62">
        <v>0.62</v>
      </c>
      <c r="C103" s="62" t="e">
        <f t="shared" si="138"/>
        <v>#DIV/0!</v>
      </c>
      <c r="D103" s="62" t="e">
        <f t="shared" si="139"/>
        <v>#DIV/0!</v>
      </c>
      <c r="E103" s="59">
        <f t="shared" si="92"/>
        <v>62</v>
      </c>
      <c r="F103" s="59" t="e">
        <f t="shared" si="93"/>
        <v>#DIV/0!</v>
      </c>
      <c r="G103" s="59" t="e">
        <f t="shared" si="94"/>
        <v>#DIV/0!</v>
      </c>
      <c r="H103" s="62" t="e">
        <f t="shared" si="140"/>
        <v>#DIV/0!</v>
      </c>
      <c r="I103" s="62" t="e">
        <f t="shared" si="141"/>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8"/>
        <v>#DIV/0!</v>
      </c>
      <c r="D104" s="62" t="e">
        <f t="shared" si="139"/>
        <v>#DIV/0!</v>
      </c>
      <c r="E104" s="59">
        <f t="shared" si="92"/>
        <v>61</v>
      </c>
      <c r="F104" s="59" t="e">
        <f t="shared" si="93"/>
        <v>#DIV/0!</v>
      </c>
      <c r="G104" s="59" t="e">
        <f t="shared" si="94"/>
        <v>#DIV/0!</v>
      </c>
      <c r="H104" s="62" t="e">
        <f t="shared" si="140"/>
        <v>#DIV/0!</v>
      </c>
      <c r="I104" s="62" t="e">
        <f t="shared" si="141"/>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66</v>
      </c>
    </row>
    <row r="105" spans="1:77" x14ac:dyDescent="0.5">
      <c r="A105" s="49"/>
      <c r="B105" s="62">
        <v>0.6</v>
      </c>
      <c r="C105" s="62" t="e">
        <f t="shared" si="138"/>
        <v>#DIV/0!</v>
      </c>
      <c r="D105" s="62" t="e">
        <f t="shared" si="139"/>
        <v>#DIV/0!</v>
      </c>
      <c r="E105" s="59">
        <f t="shared" si="92"/>
        <v>60</v>
      </c>
      <c r="F105" s="59" t="e">
        <f t="shared" si="93"/>
        <v>#DIV/0!</v>
      </c>
      <c r="G105" s="59" t="e">
        <f t="shared" si="94"/>
        <v>#DIV/0!</v>
      </c>
      <c r="H105" s="62" t="e">
        <f t="shared" si="140"/>
        <v>#DIV/0!</v>
      </c>
      <c r="I105" s="62" t="e">
        <f t="shared" si="141"/>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67</v>
      </c>
      <c r="AQ105" s="59"/>
      <c r="AR105" s="63" t="str">
        <f>IF(AR83="","",AR83)</f>
        <v/>
      </c>
      <c r="AS105" s="63" t="str">
        <f t="shared" ref="AS105:AZ105" si="148">IF(AS83="","",AS83)</f>
        <v/>
      </c>
      <c r="AT105" s="63" t="str">
        <f t="shared" si="148"/>
        <v/>
      </c>
      <c r="AU105" s="63" t="str">
        <f t="shared" si="148"/>
        <v/>
      </c>
      <c r="AV105" s="63" t="str">
        <f t="shared" si="148"/>
        <v/>
      </c>
      <c r="AW105" s="63" t="str">
        <f t="shared" si="148"/>
        <v/>
      </c>
      <c r="AX105" s="63" t="str">
        <f t="shared" si="148"/>
        <v/>
      </c>
      <c r="AY105" s="63" t="str">
        <f t="shared" si="148"/>
        <v/>
      </c>
      <c r="AZ105" s="63" t="str">
        <f t="shared" si="148"/>
        <v/>
      </c>
      <c r="BA105" s="63" t="str">
        <f t="shared" ref="BA105:BF105" si="149">IF(BA83="","",BA83)</f>
        <v/>
      </c>
      <c r="BB105" s="63" t="str">
        <f t="shared" si="149"/>
        <v/>
      </c>
      <c r="BC105" s="63" t="str">
        <f t="shared" si="149"/>
        <v/>
      </c>
      <c r="BD105" s="63" t="str">
        <f t="shared" si="149"/>
        <v/>
      </c>
      <c r="BE105" s="63" t="str">
        <f t="shared" si="149"/>
        <v/>
      </c>
      <c r="BF105" s="63" t="str">
        <f t="shared" si="149"/>
        <v/>
      </c>
    </row>
    <row r="106" spans="1:77" x14ac:dyDescent="0.5">
      <c r="A106" s="49"/>
      <c r="B106" s="62">
        <v>0.59</v>
      </c>
      <c r="C106" s="62" t="e">
        <f t="shared" si="138"/>
        <v>#DIV/0!</v>
      </c>
      <c r="D106" s="62" t="e">
        <f t="shared" si="139"/>
        <v>#DIV/0!</v>
      </c>
      <c r="E106" s="59">
        <f t="shared" si="92"/>
        <v>59</v>
      </c>
      <c r="F106" s="59" t="e">
        <f t="shared" si="93"/>
        <v>#DIV/0!</v>
      </c>
      <c r="G106" s="59" t="e">
        <f t="shared" si="94"/>
        <v>#DIV/0!</v>
      </c>
      <c r="H106" s="62" t="e">
        <f t="shared" si="140"/>
        <v>#DIV/0!</v>
      </c>
      <c r="I106" s="62" t="e">
        <f t="shared" si="141"/>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68</v>
      </c>
      <c r="AQ106" s="59"/>
      <c r="AR106" s="63" t="str">
        <f>IF(AR83="","",AR91)</f>
        <v/>
      </c>
      <c r="AS106" s="63" t="str">
        <f t="shared" ref="AS106:AZ106" si="150">IF(AS83="","",AS91)</f>
        <v/>
      </c>
      <c r="AT106" s="63" t="str">
        <f t="shared" si="150"/>
        <v/>
      </c>
      <c r="AU106" s="63" t="str">
        <f t="shared" si="150"/>
        <v/>
      </c>
      <c r="AV106" s="63" t="str">
        <f t="shared" si="150"/>
        <v/>
      </c>
      <c r="AW106" s="63" t="str">
        <f t="shared" si="150"/>
        <v/>
      </c>
      <c r="AX106" s="63" t="str">
        <f t="shared" si="150"/>
        <v/>
      </c>
      <c r="AY106" s="63" t="str">
        <f t="shared" si="150"/>
        <v/>
      </c>
      <c r="AZ106" s="63" t="str">
        <f t="shared" si="150"/>
        <v/>
      </c>
      <c r="BA106" s="63" t="str">
        <f t="shared" ref="BA106:BF106" si="151">IF(BA83="","",BA91)</f>
        <v/>
      </c>
      <c r="BB106" s="63" t="str">
        <f t="shared" si="151"/>
        <v/>
      </c>
      <c r="BC106" s="63" t="str">
        <f t="shared" si="151"/>
        <v/>
      </c>
      <c r="BD106" s="63" t="str">
        <f t="shared" si="151"/>
        <v/>
      </c>
      <c r="BE106" s="63" t="str">
        <f t="shared" si="151"/>
        <v/>
      </c>
      <c r="BF106" s="63" t="str">
        <f t="shared" si="151"/>
        <v/>
      </c>
    </row>
    <row r="107" spans="1:77" x14ac:dyDescent="0.5">
      <c r="A107" s="49"/>
      <c r="B107" s="62">
        <v>0.57999999999999996</v>
      </c>
      <c r="C107" s="62" t="e">
        <f t="shared" si="138"/>
        <v>#DIV/0!</v>
      </c>
      <c r="D107" s="62" t="e">
        <f t="shared" si="139"/>
        <v>#DIV/0!</v>
      </c>
      <c r="E107" s="59">
        <f t="shared" si="92"/>
        <v>57.999999999999993</v>
      </c>
      <c r="F107" s="59" t="e">
        <f t="shared" si="93"/>
        <v>#DIV/0!</v>
      </c>
      <c r="G107" s="59" t="e">
        <f t="shared" si="94"/>
        <v>#DIV/0!</v>
      </c>
      <c r="H107" s="62" t="e">
        <f t="shared" si="140"/>
        <v>#DIV/0!</v>
      </c>
      <c r="I107" s="62" t="e">
        <f t="shared" si="141"/>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69</v>
      </c>
      <c r="AQ107" s="59"/>
      <c r="AR107" s="63" t="str">
        <f>IF(AR105="","",(AR105-AR106)^2)</f>
        <v/>
      </c>
      <c r="AS107" s="63" t="str">
        <f t="shared" ref="AS107:AZ107" si="152">IF(AS105="","",(AS105-AS106)^2)</f>
        <v/>
      </c>
      <c r="AT107" s="63" t="str">
        <f t="shared" si="152"/>
        <v/>
      </c>
      <c r="AU107" s="63" t="str">
        <f t="shared" si="152"/>
        <v/>
      </c>
      <c r="AV107" s="63" t="str">
        <f t="shared" si="152"/>
        <v/>
      </c>
      <c r="AW107" s="63" t="str">
        <f t="shared" si="152"/>
        <v/>
      </c>
      <c r="AX107" s="63" t="str">
        <f t="shared" si="152"/>
        <v/>
      </c>
      <c r="AY107" s="63" t="str">
        <f t="shared" si="152"/>
        <v/>
      </c>
      <c r="AZ107" s="63" t="str">
        <f t="shared" si="152"/>
        <v/>
      </c>
      <c r="BA107" s="63" t="str">
        <f t="shared" ref="BA107:BF107" si="153">IF(BA105="","",(BA105-BA106)^2)</f>
        <v/>
      </c>
      <c r="BB107" s="63" t="str">
        <f t="shared" si="153"/>
        <v/>
      </c>
      <c r="BC107" s="63" t="str">
        <f t="shared" si="153"/>
        <v/>
      </c>
      <c r="BD107" s="63" t="str">
        <f t="shared" si="153"/>
        <v/>
      </c>
      <c r="BE107" s="63" t="str">
        <f t="shared" si="153"/>
        <v/>
      </c>
      <c r="BF107" s="63" t="str">
        <f t="shared" si="153"/>
        <v/>
      </c>
    </row>
    <row r="108" spans="1:77" x14ac:dyDescent="0.5">
      <c r="A108" s="49"/>
      <c r="B108" s="62">
        <v>0.56999999999999995</v>
      </c>
      <c r="C108" s="62" t="e">
        <f t="shared" si="138"/>
        <v>#DIV/0!</v>
      </c>
      <c r="D108" s="62" t="e">
        <f t="shared" si="139"/>
        <v>#DIV/0!</v>
      </c>
      <c r="E108" s="59">
        <f t="shared" si="92"/>
        <v>56.999999999999993</v>
      </c>
      <c r="F108" s="59" t="e">
        <f t="shared" si="93"/>
        <v>#DIV/0!</v>
      </c>
      <c r="G108" s="59" t="e">
        <f t="shared" si="94"/>
        <v>#DIV/0!</v>
      </c>
      <c r="H108" s="62" t="e">
        <f t="shared" si="140"/>
        <v>#DIV/0!</v>
      </c>
      <c r="I108" s="62" t="e">
        <f t="shared" si="141"/>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8"/>
        <v>#DIV/0!</v>
      </c>
      <c r="D109" s="62" t="e">
        <f t="shared" si="139"/>
        <v>#DIV/0!</v>
      </c>
      <c r="E109" s="59">
        <f t="shared" si="92"/>
        <v>56.000000000000007</v>
      </c>
      <c r="F109" s="59" t="e">
        <f t="shared" si="93"/>
        <v>#DIV/0!</v>
      </c>
      <c r="G109" s="59" t="e">
        <f t="shared" si="94"/>
        <v>#DIV/0!</v>
      </c>
      <c r="H109" s="62" t="e">
        <f t="shared" si="140"/>
        <v>#DIV/0!</v>
      </c>
      <c r="I109" s="62" t="e">
        <f t="shared" si="141"/>
        <v>#DIV/0!</v>
      </c>
      <c r="J109" s="62" t="e">
        <f t="shared" si="95"/>
        <v>#DIV/0!</v>
      </c>
      <c r="K109" s="62" t="e">
        <f t="shared" si="96"/>
        <v>#DIV/0!</v>
      </c>
      <c r="L109" s="62" t="e">
        <f t="shared" si="97"/>
        <v>#DIV/0!</v>
      </c>
      <c r="M109" s="62" t="e">
        <f t="shared" si="98"/>
        <v>#DIV/0!</v>
      </c>
      <c r="N109" s="62" t="e">
        <f t="shared" si="99"/>
        <v>#DIV/0!</v>
      </c>
      <c r="O109" s="17" t="e">
        <f t="shared" si="106"/>
        <v>#DIV/0!</v>
      </c>
      <c r="Q109" s="59" t="s">
        <v>255</v>
      </c>
      <c r="R109" s="59" t="s">
        <v>63</v>
      </c>
      <c r="S109" s="59" t="s">
        <v>256</v>
      </c>
      <c r="T109" s="59" t="s">
        <v>250</v>
      </c>
      <c r="U109" s="59" t="s">
        <v>5</v>
      </c>
      <c r="V109" s="59" t="s">
        <v>251</v>
      </c>
      <c r="W109" s="59" t="s">
        <v>32</v>
      </c>
      <c r="X109" s="59" t="s">
        <v>96</v>
      </c>
      <c r="AA109" s="59" t="s">
        <v>141</v>
      </c>
      <c r="AN109" s="55"/>
      <c r="AO109" s="17" t="s">
        <v>51</v>
      </c>
      <c r="AP109" s="53" t="s">
        <v>52</v>
      </c>
      <c r="AR109" s="52" t="s">
        <v>89</v>
      </c>
      <c r="BI109" s="53" t="s">
        <v>52</v>
      </c>
    </row>
    <row r="110" spans="1:77" x14ac:dyDescent="0.5">
      <c r="A110" s="49"/>
      <c r="B110" s="62">
        <v>0.55000000000000004</v>
      </c>
      <c r="C110" s="62" t="e">
        <f t="shared" si="138"/>
        <v>#DIV/0!</v>
      </c>
      <c r="D110" s="62" t="e">
        <f t="shared" si="139"/>
        <v>#DIV/0!</v>
      </c>
      <c r="E110" s="59">
        <f t="shared" si="92"/>
        <v>55.000000000000007</v>
      </c>
      <c r="F110" s="59" t="e">
        <f t="shared" si="93"/>
        <v>#DIV/0!</v>
      </c>
      <c r="G110" s="59" t="e">
        <f t="shared" si="94"/>
        <v>#DIV/0!</v>
      </c>
      <c r="H110" s="62" t="e">
        <f t="shared" si="140"/>
        <v>#DIV/0!</v>
      </c>
      <c r="I110" s="62" t="e">
        <f t="shared" si="141"/>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4">U110/$AT$124</f>
        <v>#DIV/0!</v>
      </c>
      <c r="S110" s="62" t="e">
        <f t="shared" ref="S110:S141" si="155">V110/$AT$125</f>
        <v>#DIV/0!</v>
      </c>
      <c r="T110" s="62" t="e">
        <f t="shared" ref="T110:T141" si="156">$AT$119*Q110</f>
        <v>#DIV/0!</v>
      </c>
      <c r="U110" s="62" t="e">
        <f t="shared" ref="U110:U141" si="157">(1/(1+EXP($AT$122-T110/$AT$119)^$AT$121))*((T110-$AT$119)/$AT$120)+(1/(1+EXP(T110/$AT$119-$AT$122)^$AT$121))*((($AT$116-T110)*$AT$118)/(T110+$AT$117))</f>
        <v>#DIV/0!</v>
      </c>
      <c r="V110" s="62" t="e">
        <f t="shared" ref="V110:V141" si="158">T110*U110</f>
        <v>#DIV/0!</v>
      </c>
      <c r="W110" s="59" t="e">
        <f>ROUND(SLOPE(T105:T115,U105:U115),0)</f>
        <v>#DIV/0!</v>
      </c>
      <c r="X110" s="100"/>
      <c r="Y110" s="17" t="s">
        <v>139</v>
      </c>
      <c r="AA110" s="62" t="e">
        <f>((($AT$116-T110)*$AT$118)/(T110+$AT$117))</f>
        <v>#DIV/0!</v>
      </c>
      <c r="AG110" s="82"/>
      <c r="AN110" s="55"/>
      <c r="AP110" s="59" t="s">
        <v>250</v>
      </c>
      <c r="AQ110" s="59"/>
      <c r="AR110" s="63" t="str">
        <f t="shared" ref="AR110:BF110" si="159">IF(AR$16=1,AR9,"")</f>
        <v/>
      </c>
      <c r="AS110" s="63" t="str">
        <f t="shared" si="159"/>
        <v/>
      </c>
      <c r="AT110" s="63" t="str">
        <f t="shared" si="159"/>
        <v/>
      </c>
      <c r="AU110" s="63" t="str">
        <f t="shared" si="159"/>
        <v/>
      </c>
      <c r="AV110" s="63" t="str">
        <f t="shared" si="159"/>
        <v/>
      </c>
      <c r="AW110" s="63" t="str">
        <f t="shared" si="159"/>
        <v/>
      </c>
      <c r="AX110" s="63" t="str">
        <f t="shared" si="159"/>
        <v/>
      </c>
      <c r="AY110" s="63" t="str">
        <f t="shared" si="159"/>
        <v/>
      </c>
      <c r="AZ110" s="63" t="str">
        <f t="shared" si="159"/>
        <v/>
      </c>
      <c r="BA110" s="63" t="str">
        <f t="shared" si="159"/>
        <v/>
      </c>
      <c r="BB110" s="63" t="str">
        <f t="shared" si="159"/>
        <v/>
      </c>
      <c r="BC110" s="63" t="str">
        <f t="shared" si="159"/>
        <v/>
      </c>
      <c r="BD110" s="63" t="str">
        <f t="shared" si="159"/>
        <v/>
      </c>
      <c r="BE110" s="63" t="str">
        <f t="shared" si="159"/>
        <v/>
      </c>
      <c r="BF110" s="63" t="str">
        <f t="shared" si="159"/>
        <v/>
      </c>
      <c r="BI110" s="59" t="s">
        <v>250</v>
      </c>
      <c r="BJ110" s="59"/>
      <c r="BK110" s="63" t="e">
        <f t="shared" ref="BK110:BY112" si="160">IF(AR$16=1,AR9,NA())</f>
        <v>#N/A</v>
      </c>
      <c r="BL110" s="63" t="e">
        <f t="shared" si="160"/>
        <v>#N/A</v>
      </c>
      <c r="BM110" s="63" t="e">
        <f t="shared" si="160"/>
        <v>#N/A</v>
      </c>
      <c r="BN110" s="63" t="e">
        <f t="shared" si="160"/>
        <v>#N/A</v>
      </c>
      <c r="BO110" s="63" t="e">
        <f t="shared" si="160"/>
        <v>#N/A</v>
      </c>
      <c r="BP110" s="63" t="e">
        <f t="shared" si="160"/>
        <v>#N/A</v>
      </c>
      <c r="BQ110" s="63" t="e">
        <f t="shared" si="160"/>
        <v>#N/A</v>
      </c>
      <c r="BR110" s="63" t="e">
        <f t="shared" si="160"/>
        <v>#N/A</v>
      </c>
      <c r="BS110" s="63" t="e">
        <f t="shared" si="160"/>
        <v>#N/A</v>
      </c>
      <c r="BT110" s="63" t="e">
        <f t="shared" si="160"/>
        <v>#N/A</v>
      </c>
      <c r="BU110" s="63" t="e">
        <f t="shared" si="160"/>
        <v>#N/A</v>
      </c>
      <c r="BV110" s="63" t="e">
        <f t="shared" si="160"/>
        <v>#N/A</v>
      </c>
      <c r="BW110" s="63" t="e">
        <f t="shared" si="160"/>
        <v>#N/A</v>
      </c>
      <c r="BX110" s="63" t="e">
        <f t="shared" si="160"/>
        <v>#N/A</v>
      </c>
      <c r="BY110" s="63" t="e">
        <f t="shared" si="160"/>
        <v>#N/A</v>
      </c>
    </row>
    <row r="111" spans="1:77" x14ac:dyDescent="0.5">
      <c r="A111" s="49"/>
      <c r="B111" s="62">
        <v>0.54</v>
      </c>
      <c r="C111" s="62" t="e">
        <f t="shared" si="138"/>
        <v>#DIV/0!</v>
      </c>
      <c r="D111" s="62" t="e">
        <f t="shared" si="139"/>
        <v>#DIV/0!</v>
      </c>
      <c r="E111" s="59">
        <f t="shared" si="92"/>
        <v>54</v>
      </c>
      <c r="F111" s="59" t="e">
        <f t="shared" si="93"/>
        <v>#DIV/0!</v>
      </c>
      <c r="G111" s="59" t="e">
        <f t="shared" si="94"/>
        <v>#DIV/0!</v>
      </c>
      <c r="H111" s="62" t="e">
        <f t="shared" si="140"/>
        <v>#DIV/0!</v>
      </c>
      <c r="I111" s="62" t="e">
        <f t="shared" si="141"/>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4"/>
        <v>#DIV/0!</v>
      </c>
      <c r="S111" s="62" t="e">
        <f t="shared" si="155"/>
        <v>#DIV/0!</v>
      </c>
      <c r="T111" s="62" t="e">
        <f t="shared" si="156"/>
        <v>#DIV/0!</v>
      </c>
      <c r="U111" s="62" t="e">
        <f t="shared" si="157"/>
        <v>#DIV/0!</v>
      </c>
      <c r="V111" s="62" t="e">
        <f t="shared" si="158"/>
        <v>#DIV/0!</v>
      </c>
      <c r="W111" s="59" t="e">
        <f t="shared" ref="W111:W147" si="161">ROUND(SLOPE(T106:T116,U106:U116),0)</f>
        <v>#DIV/0!</v>
      </c>
      <c r="X111" s="101" t="e">
        <f t="shared" ref="X111:X142" si="162">ROUND(((W110-W111)/$W$110),4)</f>
        <v>#DIV/0!</v>
      </c>
      <c r="Y111" s="82" t="e">
        <f>MAX(X110:X210)</f>
        <v>#DIV/0!</v>
      </c>
      <c r="AA111" s="62" t="e">
        <f t="shared" ref="AA111:AA152" si="163">((($AT$116-T111)*$AT$118)/(T111+$AT$117))</f>
        <v>#DIV/0!</v>
      </c>
      <c r="AG111" s="82"/>
      <c r="AN111" s="55"/>
      <c r="AP111" s="59" t="s">
        <v>5</v>
      </c>
      <c r="AQ111" s="59"/>
      <c r="AR111" s="63" t="str">
        <f t="shared" ref="AR111:BF111" si="164">IF(AR$16=1,AR10,"")</f>
        <v/>
      </c>
      <c r="AS111" s="63" t="str">
        <f>IF(AS$16=1,AS10,"")</f>
        <v/>
      </c>
      <c r="AT111" s="63" t="str">
        <f t="shared" si="164"/>
        <v/>
      </c>
      <c r="AU111" s="63" t="str">
        <f t="shared" si="164"/>
        <v/>
      </c>
      <c r="AV111" s="63" t="str">
        <f t="shared" si="164"/>
        <v/>
      </c>
      <c r="AW111" s="63" t="str">
        <f t="shared" si="164"/>
        <v/>
      </c>
      <c r="AX111" s="63" t="str">
        <f t="shared" si="164"/>
        <v/>
      </c>
      <c r="AY111" s="63" t="str">
        <f t="shared" si="164"/>
        <v/>
      </c>
      <c r="AZ111" s="63" t="str">
        <f t="shared" si="164"/>
        <v/>
      </c>
      <c r="BA111" s="63" t="str">
        <f t="shared" si="164"/>
        <v/>
      </c>
      <c r="BB111" s="63" t="str">
        <f t="shared" si="164"/>
        <v/>
      </c>
      <c r="BC111" s="63" t="str">
        <f t="shared" si="164"/>
        <v/>
      </c>
      <c r="BD111" s="63" t="str">
        <f t="shared" si="164"/>
        <v/>
      </c>
      <c r="BE111" s="63" t="str">
        <f t="shared" si="164"/>
        <v/>
      </c>
      <c r="BF111" s="63" t="str">
        <f t="shared" si="164"/>
        <v/>
      </c>
      <c r="BI111" s="59" t="s">
        <v>5</v>
      </c>
      <c r="BJ111" s="59"/>
      <c r="BK111" s="63" t="e">
        <f t="shared" si="160"/>
        <v>#N/A</v>
      </c>
      <c r="BL111" s="63" t="e">
        <f t="shared" si="160"/>
        <v>#N/A</v>
      </c>
      <c r="BM111" s="63" t="e">
        <f t="shared" si="160"/>
        <v>#N/A</v>
      </c>
      <c r="BN111" s="63" t="e">
        <f t="shared" si="160"/>
        <v>#N/A</v>
      </c>
      <c r="BO111" s="63" t="e">
        <f t="shared" si="160"/>
        <v>#N/A</v>
      </c>
      <c r="BP111" s="63" t="e">
        <f t="shared" si="160"/>
        <v>#N/A</v>
      </c>
      <c r="BQ111" s="63" t="e">
        <f t="shared" si="160"/>
        <v>#N/A</v>
      </c>
      <c r="BR111" s="63" t="e">
        <f t="shared" si="160"/>
        <v>#N/A</v>
      </c>
      <c r="BS111" s="63" t="e">
        <f t="shared" si="160"/>
        <v>#N/A</v>
      </c>
      <c r="BT111" s="63" t="e">
        <f t="shared" si="160"/>
        <v>#N/A</v>
      </c>
      <c r="BU111" s="63" t="e">
        <f t="shared" si="160"/>
        <v>#N/A</v>
      </c>
      <c r="BV111" s="63" t="e">
        <f t="shared" si="160"/>
        <v>#N/A</v>
      </c>
      <c r="BW111" s="63" t="e">
        <f t="shared" si="160"/>
        <v>#N/A</v>
      </c>
      <c r="BX111" s="63" t="e">
        <f t="shared" si="160"/>
        <v>#N/A</v>
      </c>
      <c r="BY111" s="63" t="e">
        <f t="shared" si="160"/>
        <v>#N/A</v>
      </c>
    </row>
    <row r="112" spans="1:77" x14ac:dyDescent="0.5">
      <c r="A112" s="49"/>
      <c r="B112" s="62">
        <v>0.53</v>
      </c>
      <c r="C112" s="62" t="e">
        <f t="shared" si="138"/>
        <v>#DIV/0!</v>
      </c>
      <c r="D112" s="62" t="e">
        <f t="shared" si="139"/>
        <v>#DIV/0!</v>
      </c>
      <c r="E112" s="59">
        <f t="shared" si="92"/>
        <v>53</v>
      </c>
      <c r="F112" s="59" t="e">
        <f t="shared" si="93"/>
        <v>#DIV/0!</v>
      </c>
      <c r="G112" s="59" t="e">
        <f t="shared" si="94"/>
        <v>#DIV/0!</v>
      </c>
      <c r="H112" s="62" t="e">
        <f t="shared" si="140"/>
        <v>#DIV/0!</v>
      </c>
      <c r="I112" s="62" t="e">
        <f t="shared" si="141"/>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4"/>
        <v>#DIV/0!</v>
      </c>
      <c r="S112" s="62" t="e">
        <f t="shared" si="155"/>
        <v>#DIV/0!</v>
      </c>
      <c r="T112" s="62" t="e">
        <f t="shared" si="156"/>
        <v>#DIV/0!</v>
      </c>
      <c r="U112" s="62" t="e">
        <f t="shared" si="157"/>
        <v>#DIV/0!</v>
      </c>
      <c r="V112" s="62" t="e">
        <f t="shared" si="158"/>
        <v>#DIV/0!</v>
      </c>
      <c r="W112" s="59" t="e">
        <f t="shared" si="161"/>
        <v>#DIV/0!</v>
      </c>
      <c r="X112" s="101" t="e">
        <f t="shared" si="162"/>
        <v>#DIV/0!</v>
      </c>
      <c r="Y112" s="17" t="s">
        <v>140</v>
      </c>
      <c r="AA112" s="62" t="e">
        <f t="shared" si="163"/>
        <v>#DIV/0!</v>
      </c>
      <c r="AN112" s="55"/>
      <c r="AP112" s="59" t="s">
        <v>251</v>
      </c>
      <c r="AQ112" s="59"/>
      <c r="AR112" s="63" t="str">
        <f t="shared" ref="AR112:BF112" si="165">IF(AR$16=1,AR11,"")</f>
        <v/>
      </c>
      <c r="AS112" s="63" t="str">
        <f t="shared" si="165"/>
        <v/>
      </c>
      <c r="AT112" s="63" t="str">
        <f t="shared" si="165"/>
        <v/>
      </c>
      <c r="AU112" s="63" t="str">
        <f t="shared" si="165"/>
        <v/>
      </c>
      <c r="AV112" s="63" t="str">
        <f t="shared" si="165"/>
        <v/>
      </c>
      <c r="AW112" s="63" t="str">
        <f t="shared" si="165"/>
        <v/>
      </c>
      <c r="AX112" s="63" t="str">
        <f t="shared" si="165"/>
        <v/>
      </c>
      <c r="AY112" s="63" t="str">
        <f t="shared" si="165"/>
        <v/>
      </c>
      <c r="AZ112" s="63" t="str">
        <f t="shared" si="165"/>
        <v/>
      </c>
      <c r="BA112" s="63" t="str">
        <f t="shared" si="165"/>
        <v/>
      </c>
      <c r="BB112" s="63" t="str">
        <f t="shared" si="165"/>
        <v/>
      </c>
      <c r="BC112" s="63" t="str">
        <f t="shared" si="165"/>
        <v/>
      </c>
      <c r="BD112" s="63" t="str">
        <f t="shared" si="165"/>
        <v/>
      </c>
      <c r="BE112" s="63" t="str">
        <f t="shared" si="165"/>
        <v/>
      </c>
      <c r="BF112" s="63" t="str">
        <f t="shared" si="165"/>
        <v/>
      </c>
      <c r="BI112" s="59" t="s">
        <v>251</v>
      </c>
      <c r="BJ112" s="59"/>
      <c r="BK112" s="63" t="e">
        <f t="shared" si="160"/>
        <v>#N/A</v>
      </c>
      <c r="BL112" s="63" t="e">
        <f t="shared" si="160"/>
        <v>#N/A</v>
      </c>
      <c r="BM112" s="63" t="e">
        <f t="shared" si="160"/>
        <v>#N/A</v>
      </c>
      <c r="BN112" s="63" t="e">
        <f t="shared" si="160"/>
        <v>#N/A</v>
      </c>
      <c r="BO112" s="63" t="e">
        <f t="shared" si="160"/>
        <v>#N/A</v>
      </c>
      <c r="BP112" s="63" t="e">
        <f t="shared" si="160"/>
        <v>#N/A</v>
      </c>
      <c r="BQ112" s="63" t="e">
        <f t="shared" si="160"/>
        <v>#N/A</v>
      </c>
      <c r="BR112" s="63" t="e">
        <f t="shared" si="160"/>
        <v>#N/A</v>
      </c>
      <c r="BS112" s="63" t="e">
        <f t="shared" si="160"/>
        <v>#N/A</v>
      </c>
      <c r="BT112" s="63" t="e">
        <f t="shared" si="160"/>
        <v>#N/A</v>
      </c>
      <c r="BU112" s="63" t="e">
        <f t="shared" si="160"/>
        <v>#N/A</v>
      </c>
      <c r="BV112" s="63" t="e">
        <f t="shared" si="160"/>
        <v>#N/A</v>
      </c>
      <c r="BW112" s="63" t="e">
        <f t="shared" si="160"/>
        <v>#N/A</v>
      </c>
      <c r="BX112" s="63" t="e">
        <f t="shared" si="160"/>
        <v>#N/A</v>
      </c>
      <c r="BY112" s="63" t="e">
        <f t="shared" si="160"/>
        <v>#N/A</v>
      </c>
    </row>
    <row r="113" spans="1:62" x14ac:dyDescent="0.5">
      <c r="A113" s="49"/>
      <c r="B113" s="62">
        <v>0.52</v>
      </c>
      <c r="C113" s="62" t="e">
        <f t="shared" si="138"/>
        <v>#DIV/0!</v>
      </c>
      <c r="D113" s="62" t="e">
        <f t="shared" si="139"/>
        <v>#DIV/0!</v>
      </c>
      <c r="E113" s="59">
        <f t="shared" si="92"/>
        <v>52</v>
      </c>
      <c r="F113" s="59" t="e">
        <f t="shared" si="93"/>
        <v>#DIV/0!</v>
      </c>
      <c r="G113" s="59" t="e">
        <f t="shared" si="94"/>
        <v>#DIV/0!</v>
      </c>
      <c r="H113" s="62" t="e">
        <f t="shared" si="140"/>
        <v>#DIV/0!</v>
      </c>
      <c r="I113" s="62" t="e">
        <f t="shared" si="141"/>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4"/>
        <v>#DIV/0!</v>
      </c>
      <c r="S113" s="62" t="e">
        <f t="shared" si="155"/>
        <v>#DIV/0!</v>
      </c>
      <c r="T113" s="62" t="e">
        <f t="shared" si="156"/>
        <v>#DIV/0!</v>
      </c>
      <c r="U113" s="62" t="e">
        <f t="shared" si="157"/>
        <v>#DIV/0!</v>
      </c>
      <c r="V113" s="62" t="e">
        <f t="shared" si="158"/>
        <v>#DIV/0!</v>
      </c>
      <c r="W113" s="59" t="e">
        <f t="shared" si="161"/>
        <v>#DIV/0!</v>
      </c>
      <c r="X113" s="101" t="e">
        <f t="shared" si="162"/>
        <v>#DIV/0!</v>
      </c>
      <c r="Y113" s="82" t="e">
        <f>MIN(X110:X210)</f>
        <v>#DIV/0!</v>
      </c>
      <c r="AA113" s="62" t="e">
        <f t="shared" si="163"/>
        <v>#DIV/0!</v>
      </c>
      <c r="AN113" s="55"/>
    </row>
    <row r="114" spans="1:62" x14ac:dyDescent="0.5">
      <c r="A114" s="49"/>
      <c r="B114" s="62">
        <v>0.51</v>
      </c>
      <c r="C114" s="62" t="e">
        <f t="shared" si="138"/>
        <v>#DIV/0!</v>
      </c>
      <c r="D114" s="62" t="e">
        <f t="shared" si="139"/>
        <v>#DIV/0!</v>
      </c>
      <c r="E114" s="59">
        <f t="shared" si="92"/>
        <v>51</v>
      </c>
      <c r="F114" s="59" t="e">
        <f t="shared" si="93"/>
        <v>#DIV/0!</v>
      </c>
      <c r="G114" s="59" t="e">
        <f t="shared" si="94"/>
        <v>#DIV/0!</v>
      </c>
      <c r="H114" s="62" t="e">
        <f t="shared" si="140"/>
        <v>#DIV/0!</v>
      </c>
      <c r="I114" s="62" t="e">
        <f t="shared" si="141"/>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4"/>
        <v>#DIV/0!</v>
      </c>
      <c r="S114" s="62" t="e">
        <f t="shared" si="155"/>
        <v>#DIV/0!</v>
      </c>
      <c r="T114" s="62" t="e">
        <f t="shared" si="156"/>
        <v>#DIV/0!</v>
      </c>
      <c r="U114" s="62" t="e">
        <f t="shared" si="157"/>
        <v>#DIV/0!</v>
      </c>
      <c r="V114" s="62" t="e">
        <f t="shared" si="158"/>
        <v>#DIV/0!</v>
      </c>
      <c r="W114" s="59" t="e">
        <f t="shared" si="161"/>
        <v>#DIV/0!</v>
      </c>
      <c r="X114" s="101" t="e">
        <f t="shared" si="162"/>
        <v>#DIV/0!</v>
      </c>
      <c r="Y114" s="104"/>
      <c r="AA114" s="62" t="e">
        <f t="shared" si="163"/>
        <v>#DIV/0!</v>
      </c>
      <c r="AN114" s="55"/>
      <c r="AP114" s="53" t="s">
        <v>31</v>
      </c>
    </row>
    <row r="115" spans="1:62" x14ac:dyDescent="0.5">
      <c r="A115" s="49"/>
      <c r="B115" s="62">
        <v>0.5</v>
      </c>
      <c r="C115" s="62" t="e">
        <f t="shared" si="138"/>
        <v>#DIV/0!</v>
      </c>
      <c r="D115" s="62" t="e">
        <f t="shared" si="139"/>
        <v>#DIV/0!</v>
      </c>
      <c r="E115" s="59">
        <f t="shared" si="92"/>
        <v>50</v>
      </c>
      <c r="F115" s="59" t="e">
        <f t="shared" si="93"/>
        <v>#DIV/0!</v>
      </c>
      <c r="G115" s="59" t="e">
        <f t="shared" si="94"/>
        <v>#DIV/0!</v>
      </c>
      <c r="H115" s="62" t="e">
        <f t="shared" si="140"/>
        <v>#DIV/0!</v>
      </c>
      <c r="I115" s="62" t="e">
        <f t="shared" si="141"/>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4"/>
        <v>#DIV/0!</v>
      </c>
      <c r="S115" s="62" t="e">
        <f t="shared" si="155"/>
        <v>#DIV/0!</v>
      </c>
      <c r="T115" s="62" t="e">
        <f t="shared" si="156"/>
        <v>#DIV/0!</v>
      </c>
      <c r="U115" s="62" t="e">
        <f t="shared" si="157"/>
        <v>#DIV/0!</v>
      </c>
      <c r="V115" s="62" t="e">
        <f t="shared" si="158"/>
        <v>#DIV/0!</v>
      </c>
      <c r="W115" s="59" t="e">
        <f t="shared" si="161"/>
        <v>#DIV/0!</v>
      </c>
      <c r="X115" s="101" t="e">
        <f t="shared" si="162"/>
        <v>#DIV/0!</v>
      </c>
      <c r="Y115" s="104"/>
      <c r="AA115" s="62" t="e">
        <f t="shared" si="163"/>
        <v>#DIV/0!</v>
      </c>
      <c r="AN115" s="55"/>
      <c r="AP115" s="59" t="s">
        <v>14</v>
      </c>
      <c r="AQ115" s="59" t="s">
        <v>59</v>
      </c>
      <c r="AR115" s="63" t="s">
        <v>60</v>
      </c>
      <c r="AS115" s="63" t="s">
        <v>61</v>
      </c>
      <c r="AT115" s="63" t="s">
        <v>62</v>
      </c>
      <c r="AV115" s="63" t="s">
        <v>34</v>
      </c>
      <c r="AW115" s="63" t="e">
        <f>RSQ(AR151:BF151,AR150:BF150)</f>
        <v>#DIV/0!</v>
      </c>
      <c r="AX115" s="63" t="s">
        <v>70</v>
      </c>
      <c r="AY115" s="63" t="e">
        <f>STEYX(AR151:BF151,AR150:BF150)</f>
        <v>#DIV/0!</v>
      </c>
      <c r="AZ115" s="63" t="s">
        <v>65</v>
      </c>
      <c r="BA115" s="83">
        <f>SQRT(SUM(AR152:BF152)/(COUNT(AR152:BF152)-2))</f>
        <v>0</v>
      </c>
      <c r="BB115" s="63" t="s">
        <v>144</v>
      </c>
      <c r="BC115" s="63">
        <f>SQRT(SUM(AR156:BF156)/(COUNT(AR156:BF156)-2))</f>
        <v>0</v>
      </c>
      <c r="BD115" s="63" t="s">
        <v>149</v>
      </c>
      <c r="BE115" s="61">
        <f>SQRT(SUM(AR160:BF160)/(COUNT(AR160:BF160)-2))</f>
        <v>0</v>
      </c>
    </row>
    <row r="116" spans="1:62" x14ac:dyDescent="0.5">
      <c r="A116" s="49"/>
      <c r="B116" s="62">
        <v>0.49</v>
      </c>
      <c r="C116" s="62" t="e">
        <f t="shared" si="138"/>
        <v>#DIV/0!</v>
      </c>
      <c r="D116" s="62" t="e">
        <f t="shared" si="139"/>
        <v>#DIV/0!</v>
      </c>
      <c r="E116" s="59">
        <f t="shared" si="92"/>
        <v>49</v>
      </c>
      <c r="F116" s="59" t="e">
        <f t="shared" si="93"/>
        <v>#DIV/0!</v>
      </c>
      <c r="G116" s="59" t="e">
        <f t="shared" si="94"/>
        <v>#DIV/0!</v>
      </c>
      <c r="H116" s="62" t="e">
        <f t="shared" si="140"/>
        <v>#DIV/0!</v>
      </c>
      <c r="I116" s="62" t="e">
        <f t="shared" si="141"/>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4"/>
        <v>#DIV/0!</v>
      </c>
      <c r="S116" s="62" t="e">
        <f t="shared" si="155"/>
        <v>#DIV/0!</v>
      </c>
      <c r="T116" s="62" t="e">
        <f t="shared" si="156"/>
        <v>#DIV/0!</v>
      </c>
      <c r="U116" s="62" t="e">
        <f t="shared" si="157"/>
        <v>#DIV/0!</v>
      </c>
      <c r="V116" s="62" t="e">
        <f t="shared" si="158"/>
        <v>#DIV/0!</v>
      </c>
      <c r="W116" s="59" t="e">
        <f t="shared" si="161"/>
        <v>#DIV/0!</v>
      </c>
      <c r="X116" s="101" t="e">
        <f t="shared" si="162"/>
        <v>#DIV/0!</v>
      </c>
      <c r="Y116" s="104"/>
      <c r="AA116" s="62" t="e">
        <f t="shared" si="163"/>
        <v>#DIV/0!</v>
      </c>
      <c r="AN116" s="55"/>
      <c r="AP116" s="59" t="s">
        <v>263</v>
      </c>
      <c r="AQ116" s="84" t="e">
        <f>AT119</f>
        <v>#DIV/0!</v>
      </c>
      <c r="AR116" s="84" t="e">
        <f>AT119*1.6</f>
        <v>#DIV/0!</v>
      </c>
      <c r="AS116" s="83" t="e">
        <f>constep3*1.2</f>
        <v>#DIV/0!</v>
      </c>
      <c r="AT116" s="117" t="e">
        <f t="shared" ref="AT116:AT122" si="166">startval4</f>
        <v>#DIV/0!</v>
      </c>
      <c r="AU116" s="85"/>
      <c r="BD116" s="63" t="s">
        <v>150</v>
      </c>
      <c r="BE116" s="63">
        <f>BE115/100</f>
        <v>0</v>
      </c>
      <c r="BJ116" s="52"/>
    </row>
    <row r="117" spans="1:62" x14ac:dyDescent="0.5">
      <c r="A117" s="49"/>
      <c r="B117" s="62">
        <v>0.48</v>
      </c>
      <c r="C117" s="62" t="e">
        <f t="shared" si="138"/>
        <v>#DIV/0!</v>
      </c>
      <c r="D117" s="62" t="e">
        <f t="shared" si="139"/>
        <v>#DIV/0!</v>
      </c>
      <c r="E117" s="59">
        <f t="shared" si="92"/>
        <v>48</v>
      </c>
      <c r="F117" s="59" t="e">
        <f t="shared" si="93"/>
        <v>#DIV/0!</v>
      </c>
      <c r="G117" s="59" t="e">
        <f t="shared" si="94"/>
        <v>#DIV/0!</v>
      </c>
      <c r="H117" s="62" t="e">
        <f t="shared" si="140"/>
        <v>#DIV/0!</v>
      </c>
      <c r="I117" s="62" t="e">
        <f t="shared" si="141"/>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4"/>
        <v>#DIV/0!</v>
      </c>
      <c r="S117" s="62" t="e">
        <f t="shared" si="155"/>
        <v>#DIV/0!</v>
      </c>
      <c r="T117" s="62" t="e">
        <f t="shared" si="156"/>
        <v>#DIV/0!</v>
      </c>
      <c r="U117" s="62" t="e">
        <f t="shared" si="157"/>
        <v>#DIV/0!</v>
      </c>
      <c r="V117" s="62" t="e">
        <f t="shared" si="158"/>
        <v>#DIV/0!</v>
      </c>
      <c r="W117" s="59" t="e">
        <f t="shared" si="161"/>
        <v>#DIV/0!</v>
      </c>
      <c r="X117" s="101" t="e">
        <f t="shared" si="162"/>
        <v>#DIV/0!</v>
      </c>
      <c r="Y117" s="104"/>
      <c r="AA117" s="62" t="e">
        <f t="shared" si="163"/>
        <v>#DIV/0!</v>
      </c>
      <c r="AN117" s="55"/>
      <c r="AP117" s="59" t="s">
        <v>53</v>
      </c>
      <c r="AQ117" s="84">
        <v>0</v>
      </c>
      <c r="AR117" s="84" t="e">
        <f>AT116*5</f>
        <v>#DIV/0!</v>
      </c>
      <c r="AS117" s="83" t="e">
        <f>AT116*3.5</f>
        <v>#DIV/0!</v>
      </c>
      <c r="AT117" s="117" t="e">
        <f t="shared" si="166"/>
        <v>#DIV/0!</v>
      </c>
      <c r="AV117" s="63" t="s">
        <v>146</v>
      </c>
      <c r="AW117" s="63" t="s">
        <v>137</v>
      </c>
      <c r="AX117" s="63" t="s">
        <v>147</v>
      </c>
      <c r="AZ117" s="63" t="s">
        <v>148</v>
      </c>
      <c r="BA117" s="86">
        <f>(SEE_4*AW118)+(BC115*AX118)+BE116</f>
        <v>0</v>
      </c>
      <c r="BI117" s="52"/>
      <c r="BJ117" s="52"/>
    </row>
    <row r="118" spans="1:62" x14ac:dyDescent="0.5">
      <c r="A118" s="49"/>
      <c r="B118" s="62">
        <v>0.47</v>
      </c>
      <c r="C118" s="62" t="e">
        <f t="shared" si="138"/>
        <v>#DIV/0!</v>
      </c>
      <c r="D118" s="62" t="e">
        <f t="shared" si="139"/>
        <v>#DIV/0!</v>
      </c>
      <c r="E118" s="59">
        <f t="shared" si="92"/>
        <v>47</v>
      </c>
      <c r="F118" s="59" t="e">
        <f t="shared" si="93"/>
        <v>#DIV/0!</v>
      </c>
      <c r="G118" s="59" t="e">
        <f t="shared" si="94"/>
        <v>#DIV/0!</v>
      </c>
      <c r="H118" s="62" t="e">
        <f t="shared" si="140"/>
        <v>#DIV/0!</v>
      </c>
      <c r="I118" s="62" t="e">
        <f t="shared" si="141"/>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4"/>
        <v>#DIV/0!</v>
      </c>
      <c r="S118" s="62" t="e">
        <f t="shared" si="155"/>
        <v>#DIV/0!</v>
      </c>
      <c r="T118" s="62" t="e">
        <f t="shared" si="156"/>
        <v>#DIV/0!</v>
      </c>
      <c r="U118" s="62" t="e">
        <f t="shared" si="157"/>
        <v>#DIV/0!</v>
      </c>
      <c r="V118" s="62" t="e">
        <f t="shared" si="158"/>
        <v>#DIV/0!</v>
      </c>
      <c r="W118" s="59" t="e">
        <f t="shared" si="161"/>
        <v>#DIV/0!</v>
      </c>
      <c r="X118" s="101" t="e">
        <f t="shared" si="162"/>
        <v>#DIV/0!</v>
      </c>
      <c r="Y118" s="104"/>
      <c r="AA118" s="62" t="e">
        <f t="shared" si="163"/>
        <v>#DIV/0!</v>
      </c>
      <c r="AN118" s="55"/>
      <c r="AP118" s="59" t="s">
        <v>54</v>
      </c>
      <c r="AQ118" s="84">
        <v>0</v>
      </c>
      <c r="AR118" s="84" t="e">
        <f>(-constep3/slopestep3)*7</f>
        <v>#DIV/0!</v>
      </c>
      <c r="AS118" s="83" t="e">
        <f>(-constep3/slopestep3)*3.5</f>
        <v>#DIV/0!</v>
      </c>
      <c r="AT118" s="117" t="e">
        <f t="shared" si="166"/>
        <v>#DIV/0!</v>
      </c>
      <c r="AW118" s="63">
        <v>0.55000000000000004</v>
      </c>
      <c r="AX118" s="63">
        <f>1-AW118</f>
        <v>0.44999999999999996</v>
      </c>
      <c r="BI118" s="52"/>
    </row>
    <row r="119" spans="1:62" x14ac:dyDescent="0.5">
      <c r="A119" s="49"/>
      <c r="B119" s="62">
        <v>0.46</v>
      </c>
      <c r="C119" s="62" t="e">
        <f t="shared" si="138"/>
        <v>#DIV/0!</v>
      </c>
      <c r="D119" s="62" t="e">
        <f t="shared" si="139"/>
        <v>#DIV/0!</v>
      </c>
      <c r="E119" s="59">
        <f t="shared" si="92"/>
        <v>46</v>
      </c>
      <c r="F119" s="59" t="e">
        <f t="shared" si="93"/>
        <v>#DIV/0!</v>
      </c>
      <c r="G119" s="59" t="e">
        <f t="shared" si="94"/>
        <v>#DIV/0!</v>
      </c>
      <c r="H119" s="62" t="e">
        <f t="shared" si="140"/>
        <v>#DIV/0!</v>
      </c>
      <c r="I119" s="62" t="e">
        <f t="shared" si="141"/>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4"/>
        <v>#DIV/0!</v>
      </c>
      <c r="S119" s="62" t="e">
        <f t="shared" si="155"/>
        <v>#DIV/0!</v>
      </c>
      <c r="T119" s="62" t="e">
        <f t="shared" si="156"/>
        <v>#DIV/0!</v>
      </c>
      <c r="U119" s="62" t="e">
        <f t="shared" si="157"/>
        <v>#DIV/0!</v>
      </c>
      <c r="V119" s="62" t="e">
        <f t="shared" si="158"/>
        <v>#DIV/0!</v>
      </c>
      <c r="W119" s="59" t="e">
        <f t="shared" si="161"/>
        <v>#DIV/0!</v>
      </c>
      <c r="X119" s="101" t="e">
        <f t="shared" si="162"/>
        <v>#DIV/0!</v>
      </c>
      <c r="Y119" s="104"/>
      <c r="AA119" s="62" t="e">
        <f t="shared" si="163"/>
        <v>#DIV/0!</v>
      </c>
      <c r="AN119" s="55"/>
      <c r="AP119" s="59" t="s">
        <v>240</v>
      </c>
      <c r="AQ119" s="84" t="e">
        <f>constep3*0.9</f>
        <v>#DIV/0!</v>
      </c>
      <c r="AR119" s="84" t="e">
        <f>constep3*1.1</f>
        <v>#DIV/0!</v>
      </c>
      <c r="AS119" s="83" t="e">
        <f>constep3</f>
        <v>#DIV/0!</v>
      </c>
      <c r="AT119" s="117" t="e">
        <f t="shared" si="166"/>
        <v>#DIV/0!</v>
      </c>
      <c r="BI119" s="52"/>
    </row>
    <row r="120" spans="1:62" x14ac:dyDescent="0.5">
      <c r="A120" s="49"/>
      <c r="B120" s="62">
        <v>0.45</v>
      </c>
      <c r="C120" s="62" t="e">
        <f t="shared" si="138"/>
        <v>#DIV/0!</v>
      </c>
      <c r="D120" s="62" t="e">
        <f t="shared" si="139"/>
        <v>#DIV/0!</v>
      </c>
      <c r="E120" s="59">
        <f t="shared" si="92"/>
        <v>45</v>
      </c>
      <c r="F120" s="59" t="e">
        <f t="shared" si="93"/>
        <v>#DIV/0!</v>
      </c>
      <c r="G120" s="59" t="e">
        <f t="shared" si="94"/>
        <v>#DIV/0!</v>
      </c>
      <c r="H120" s="62" t="e">
        <f t="shared" si="140"/>
        <v>#DIV/0!</v>
      </c>
      <c r="I120" s="62" t="e">
        <f t="shared" si="141"/>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4"/>
        <v>#DIV/0!</v>
      </c>
      <c r="S120" s="62" t="e">
        <f t="shared" si="155"/>
        <v>#DIV/0!</v>
      </c>
      <c r="T120" s="62" t="e">
        <f t="shared" si="156"/>
        <v>#DIV/0!</v>
      </c>
      <c r="U120" s="62" t="e">
        <f t="shared" si="157"/>
        <v>#DIV/0!</v>
      </c>
      <c r="V120" s="62" t="e">
        <f t="shared" si="158"/>
        <v>#DIV/0!</v>
      </c>
      <c r="W120" s="59" t="e">
        <f t="shared" si="161"/>
        <v>#DIV/0!</v>
      </c>
      <c r="X120" s="101" t="e">
        <f t="shared" si="162"/>
        <v>#DIV/0!</v>
      </c>
      <c r="Y120" s="104"/>
      <c r="AA120" s="62" t="e">
        <f t="shared" si="163"/>
        <v>#DIV/0!</v>
      </c>
      <c r="AN120" s="55"/>
      <c r="AP120" s="59" t="s">
        <v>32</v>
      </c>
      <c r="AQ120" s="84" t="e">
        <f>AS120*2</f>
        <v>#DIV/0!</v>
      </c>
      <c r="AR120" s="84">
        <v>0</v>
      </c>
      <c r="AS120" s="83" t="e">
        <f>slopestep3</f>
        <v>#DIV/0!</v>
      </c>
      <c r="AT120" s="117" t="e">
        <f t="shared" si="166"/>
        <v>#DIV/0!</v>
      </c>
      <c r="AV120" s="87" t="s">
        <v>92</v>
      </c>
      <c r="AW120" s="88"/>
      <c r="AX120" s="88"/>
      <c r="AY120" s="88"/>
      <c r="AZ120" s="88"/>
      <c r="BA120" s="88"/>
      <c r="BB120" s="88"/>
      <c r="BC120" s="88"/>
      <c r="BD120" s="88"/>
      <c r="BE120" s="88"/>
      <c r="BF120" s="89"/>
      <c r="BI120" s="52"/>
    </row>
    <row r="121" spans="1:62" x14ac:dyDescent="0.5">
      <c r="A121" s="49"/>
      <c r="B121" s="62">
        <v>0.44</v>
      </c>
      <c r="C121" s="62" t="e">
        <f t="shared" si="138"/>
        <v>#DIV/0!</v>
      </c>
      <c r="D121" s="62" t="e">
        <f t="shared" si="139"/>
        <v>#DIV/0!</v>
      </c>
      <c r="E121" s="59">
        <f t="shared" si="92"/>
        <v>44</v>
      </c>
      <c r="F121" s="59" t="e">
        <f t="shared" si="93"/>
        <v>#DIV/0!</v>
      </c>
      <c r="G121" s="59" t="e">
        <f t="shared" si="94"/>
        <v>#DIV/0!</v>
      </c>
      <c r="H121" s="62" t="e">
        <f t="shared" si="140"/>
        <v>#DIV/0!</v>
      </c>
      <c r="I121" s="62" t="e">
        <f t="shared" si="141"/>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4"/>
        <v>#DIV/0!</v>
      </c>
      <c r="S121" s="62" t="e">
        <f t="shared" si="155"/>
        <v>#DIV/0!</v>
      </c>
      <c r="T121" s="62" t="e">
        <f t="shared" si="156"/>
        <v>#DIV/0!</v>
      </c>
      <c r="U121" s="62" t="e">
        <f t="shared" si="157"/>
        <v>#DIV/0!</v>
      </c>
      <c r="V121" s="62" t="e">
        <f t="shared" si="158"/>
        <v>#DIV/0!</v>
      </c>
      <c r="W121" s="59" t="e">
        <f t="shared" si="161"/>
        <v>#DIV/0!</v>
      </c>
      <c r="X121" s="101" t="e">
        <f t="shared" si="162"/>
        <v>#DIV/0!</v>
      </c>
      <c r="Y121" s="104"/>
      <c r="AA121" s="62" t="e">
        <f t="shared" si="163"/>
        <v>#DIV/0!</v>
      </c>
      <c r="AN121" s="55"/>
      <c r="AP121" s="59" t="s">
        <v>55</v>
      </c>
      <c r="AQ121" s="84">
        <v>20</v>
      </c>
      <c r="AR121" s="84">
        <v>20</v>
      </c>
      <c r="AS121" s="83">
        <v>20</v>
      </c>
      <c r="AT121" s="117">
        <f t="shared" si="166"/>
        <v>20</v>
      </c>
      <c r="AV121" s="90"/>
      <c r="AY121" s="52" t="s">
        <v>94</v>
      </c>
      <c r="AZ121" s="52" t="s">
        <v>95</v>
      </c>
      <c r="BF121" s="91"/>
      <c r="BI121" s="52"/>
    </row>
    <row r="122" spans="1:62" x14ac:dyDescent="0.5">
      <c r="A122" s="49"/>
      <c r="B122" s="62">
        <v>0.42999999999999899</v>
      </c>
      <c r="C122" s="62" t="e">
        <f t="shared" si="138"/>
        <v>#DIV/0!</v>
      </c>
      <c r="D122" s="62" t="e">
        <f t="shared" si="139"/>
        <v>#DIV/0!</v>
      </c>
      <c r="E122" s="59">
        <f t="shared" si="92"/>
        <v>42.999999999999901</v>
      </c>
      <c r="F122" s="59" t="e">
        <f t="shared" si="93"/>
        <v>#DIV/0!</v>
      </c>
      <c r="G122" s="59" t="e">
        <f t="shared" si="94"/>
        <v>#DIV/0!</v>
      </c>
      <c r="H122" s="62" t="e">
        <f t="shared" si="140"/>
        <v>#DIV/0!</v>
      </c>
      <c r="I122" s="62" t="e">
        <f t="shared" si="141"/>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4"/>
        <v>#DIV/0!</v>
      </c>
      <c r="S122" s="62" t="e">
        <f t="shared" si="155"/>
        <v>#DIV/0!</v>
      </c>
      <c r="T122" s="62" t="e">
        <f t="shared" si="156"/>
        <v>#DIV/0!</v>
      </c>
      <c r="U122" s="62" t="e">
        <f t="shared" si="157"/>
        <v>#DIV/0!</v>
      </c>
      <c r="V122" s="62" t="e">
        <f t="shared" si="158"/>
        <v>#DIV/0!</v>
      </c>
      <c r="W122" s="59" t="e">
        <f t="shared" si="161"/>
        <v>#DIV/0!</v>
      </c>
      <c r="X122" s="101" t="e">
        <f t="shared" si="162"/>
        <v>#DIV/0!</v>
      </c>
      <c r="Y122" s="104"/>
      <c r="AA122" s="62" t="e">
        <f t="shared" si="163"/>
        <v>#DIV/0!</v>
      </c>
      <c r="AN122" s="55"/>
      <c r="AP122" s="59" t="s">
        <v>56</v>
      </c>
      <c r="AQ122" s="84">
        <v>0.3</v>
      </c>
      <c r="AR122" s="84">
        <v>0.55000000000000004</v>
      </c>
      <c r="AS122" s="83">
        <v>0.45</v>
      </c>
      <c r="AT122" s="117">
        <f t="shared" si="166"/>
        <v>0.45</v>
      </c>
      <c r="AV122" s="90" t="s">
        <v>93</v>
      </c>
      <c r="AY122" s="92">
        <v>0.01</v>
      </c>
      <c r="AZ122" s="93" t="e">
        <f>IF(MIN(X111:X210)&lt;-AY122,0,1)</f>
        <v>#DIV/0!</v>
      </c>
      <c r="BA122" s="52" t="s">
        <v>89</v>
      </c>
      <c r="BC122" s="52" t="s">
        <v>151</v>
      </c>
      <c r="BF122" s="91"/>
      <c r="BI122" s="52"/>
    </row>
    <row r="123" spans="1:62" x14ac:dyDescent="0.5">
      <c r="A123" s="49"/>
      <c r="B123" s="62">
        <v>0.41999999999999899</v>
      </c>
      <c r="C123" s="62" t="e">
        <f t="shared" si="138"/>
        <v>#DIV/0!</v>
      </c>
      <c r="D123" s="62" t="e">
        <f t="shared" si="139"/>
        <v>#DIV/0!</v>
      </c>
      <c r="E123" s="59">
        <f t="shared" si="92"/>
        <v>41.999999999999901</v>
      </c>
      <c r="F123" s="59" t="e">
        <f t="shared" si="93"/>
        <v>#DIV/0!</v>
      </c>
      <c r="G123" s="59" t="e">
        <f t="shared" si="94"/>
        <v>#DIV/0!</v>
      </c>
      <c r="H123" s="62" t="e">
        <f t="shared" si="140"/>
        <v>#DIV/0!</v>
      </c>
      <c r="I123" s="62" t="e">
        <f t="shared" si="141"/>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4"/>
        <v>#DIV/0!</v>
      </c>
      <c r="S123" s="62" t="e">
        <f t="shared" si="155"/>
        <v>#DIV/0!</v>
      </c>
      <c r="T123" s="62" t="e">
        <f t="shared" si="156"/>
        <v>#DIV/0!</v>
      </c>
      <c r="U123" s="62" t="e">
        <f t="shared" si="157"/>
        <v>#DIV/0!</v>
      </c>
      <c r="V123" s="62" t="e">
        <f t="shared" si="158"/>
        <v>#DIV/0!</v>
      </c>
      <c r="W123" s="59" t="e">
        <f t="shared" si="161"/>
        <v>#DIV/0!</v>
      </c>
      <c r="X123" s="101" t="e">
        <f t="shared" si="162"/>
        <v>#DIV/0!</v>
      </c>
      <c r="Y123" s="104"/>
      <c r="AA123" s="62" t="e">
        <f t="shared" si="163"/>
        <v>#DIV/0!</v>
      </c>
      <c r="AN123" s="55"/>
      <c r="AV123" s="90"/>
      <c r="BF123" s="91"/>
      <c r="BI123" s="52"/>
    </row>
    <row r="124" spans="1:62" x14ac:dyDescent="0.5">
      <c r="A124" s="49"/>
      <c r="B124" s="62">
        <v>0.40999999999999898</v>
      </c>
      <c r="C124" s="62" t="e">
        <f t="shared" si="138"/>
        <v>#DIV/0!</v>
      </c>
      <c r="D124" s="62" t="e">
        <f t="shared" si="139"/>
        <v>#DIV/0!</v>
      </c>
      <c r="E124" s="59">
        <f t="shared" si="92"/>
        <v>40.999999999999901</v>
      </c>
      <c r="F124" s="59" t="e">
        <f t="shared" si="93"/>
        <v>#DIV/0!</v>
      </c>
      <c r="G124" s="59" t="e">
        <f t="shared" si="94"/>
        <v>#DIV/0!</v>
      </c>
      <c r="H124" s="62" t="e">
        <f t="shared" si="140"/>
        <v>#DIV/0!</v>
      </c>
      <c r="I124" s="62" t="e">
        <f t="shared" si="141"/>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4"/>
        <v>#DIV/0!</v>
      </c>
      <c r="S124" s="62" t="e">
        <f t="shared" si="155"/>
        <v>#DIV/0!</v>
      </c>
      <c r="T124" s="62" t="e">
        <f t="shared" si="156"/>
        <v>#DIV/0!</v>
      </c>
      <c r="U124" s="62" t="e">
        <f t="shared" si="157"/>
        <v>#DIV/0!</v>
      </c>
      <c r="V124" s="62" t="e">
        <f t="shared" si="158"/>
        <v>#DIV/0!</v>
      </c>
      <c r="W124" s="59" t="e">
        <f t="shared" si="161"/>
        <v>#DIV/0!</v>
      </c>
      <c r="X124" s="101" t="e">
        <f t="shared" si="162"/>
        <v>#DIV/0!</v>
      </c>
      <c r="Y124" s="104"/>
      <c r="AA124" s="62" t="e">
        <f t="shared" si="163"/>
        <v>#DIV/0!</v>
      </c>
      <c r="AN124" s="55"/>
      <c r="AP124" s="59" t="s">
        <v>57</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8"/>
        <v>#DIV/0!</v>
      </c>
      <c r="D125" s="62" t="e">
        <f t="shared" si="139"/>
        <v>#DIV/0!</v>
      </c>
      <c r="E125" s="59">
        <f t="shared" si="92"/>
        <v>39.999999999999901</v>
      </c>
      <c r="F125" s="59" t="e">
        <f t="shared" si="93"/>
        <v>#DIV/0!</v>
      </c>
      <c r="G125" s="59" t="e">
        <f t="shared" si="94"/>
        <v>#DIV/0!</v>
      </c>
      <c r="H125" s="62" t="e">
        <f t="shared" si="140"/>
        <v>#DIV/0!</v>
      </c>
      <c r="I125" s="62" t="e">
        <f t="shared" si="141"/>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4"/>
        <v>#DIV/0!</v>
      </c>
      <c r="S125" s="62" t="e">
        <f t="shared" si="155"/>
        <v>#DIV/0!</v>
      </c>
      <c r="T125" s="62" t="e">
        <f t="shared" si="156"/>
        <v>#DIV/0!</v>
      </c>
      <c r="U125" s="62" t="e">
        <f t="shared" si="157"/>
        <v>#DIV/0!</v>
      </c>
      <c r="V125" s="62" t="e">
        <f t="shared" si="158"/>
        <v>#DIV/0!</v>
      </c>
      <c r="W125" s="59" t="e">
        <f t="shared" si="161"/>
        <v>#DIV/0!</v>
      </c>
      <c r="X125" s="101" t="e">
        <f t="shared" si="162"/>
        <v>#DIV/0!</v>
      </c>
      <c r="Y125" s="104"/>
      <c r="AA125" s="62" t="e">
        <f t="shared" si="163"/>
        <v>#DIV/0!</v>
      </c>
      <c r="AN125" s="55"/>
      <c r="AP125" s="59" t="s">
        <v>241</v>
      </c>
      <c r="AT125" s="63" t="e">
        <f>MAX(V110:V210)</f>
        <v>#DIV/0!</v>
      </c>
      <c r="AV125" s="90" t="s">
        <v>143</v>
      </c>
      <c r="BA125" s="52" t="s">
        <v>89</v>
      </c>
      <c r="BF125" s="91"/>
    </row>
    <row r="126" spans="1:62" x14ac:dyDescent="0.5">
      <c r="A126" s="49"/>
      <c r="B126" s="62">
        <v>0.38999999999999901</v>
      </c>
      <c r="C126" s="62" t="e">
        <f t="shared" si="138"/>
        <v>#DIV/0!</v>
      </c>
      <c r="D126" s="62" t="e">
        <f t="shared" si="139"/>
        <v>#DIV/0!</v>
      </c>
      <c r="E126" s="59">
        <f t="shared" si="92"/>
        <v>38.999999999999901</v>
      </c>
      <c r="F126" s="59" t="e">
        <f t="shared" si="93"/>
        <v>#DIV/0!</v>
      </c>
      <c r="G126" s="59" t="e">
        <f t="shared" si="94"/>
        <v>#DIV/0!</v>
      </c>
      <c r="H126" s="62" t="e">
        <f t="shared" si="140"/>
        <v>#DIV/0!</v>
      </c>
      <c r="I126" s="62" t="e">
        <f t="shared" si="141"/>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4"/>
        <v>#DIV/0!</v>
      </c>
      <c r="S126" s="62" t="e">
        <f t="shared" si="155"/>
        <v>#DIV/0!</v>
      </c>
      <c r="T126" s="62" t="e">
        <f t="shared" si="156"/>
        <v>#DIV/0!</v>
      </c>
      <c r="U126" s="62" t="e">
        <f t="shared" si="157"/>
        <v>#DIV/0!</v>
      </c>
      <c r="V126" s="62" t="e">
        <f t="shared" si="158"/>
        <v>#DIV/0!</v>
      </c>
      <c r="W126" s="59" t="e">
        <f t="shared" si="161"/>
        <v>#DIV/0!</v>
      </c>
      <c r="X126" s="101" t="e">
        <f t="shared" si="162"/>
        <v>#DIV/0!</v>
      </c>
      <c r="Y126" s="104"/>
      <c r="AA126" s="62" t="e">
        <f t="shared" si="163"/>
        <v>#DIV/0!</v>
      </c>
      <c r="AN126" s="55"/>
      <c r="AP126" s="59" t="s">
        <v>243</v>
      </c>
      <c r="AT126" s="63" t="e">
        <f>INDEX(T110:T210,MATCH(AT125,V110:V210,0))</f>
        <v>#DIV/0!</v>
      </c>
      <c r="AV126" s="90">
        <v>0.85</v>
      </c>
      <c r="BC126" s="52" t="s">
        <v>145</v>
      </c>
      <c r="BF126" s="91"/>
    </row>
    <row r="127" spans="1:62" x14ac:dyDescent="0.5">
      <c r="A127" s="49"/>
      <c r="B127" s="62">
        <v>0.37999999999999901</v>
      </c>
      <c r="C127" s="62" t="e">
        <f t="shared" si="138"/>
        <v>#DIV/0!</v>
      </c>
      <c r="D127" s="62" t="e">
        <f t="shared" si="139"/>
        <v>#DIV/0!</v>
      </c>
      <c r="E127" s="59">
        <f t="shared" si="92"/>
        <v>37.999999999999901</v>
      </c>
      <c r="F127" s="59" t="e">
        <f t="shared" si="93"/>
        <v>#DIV/0!</v>
      </c>
      <c r="G127" s="59" t="e">
        <f t="shared" si="94"/>
        <v>#DIV/0!</v>
      </c>
      <c r="H127" s="62" t="e">
        <f t="shared" si="140"/>
        <v>#DIV/0!</v>
      </c>
      <c r="I127" s="62" t="e">
        <f t="shared" si="141"/>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4"/>
        <v>#DIV/0!</v>
      </c>
      <c r="S127" s="62" t="e">
        <f t="shared" si="155"/>
        <v>#DIV/0!</v>
      </c>
      <c r="T127" s="62" t="e">
        <f t="shared" si="156"/>
        <v>#DIV/0!</v>
      </c>
      <c r="U127" s="62" t="e">
        <f t="shared" si="157"/>
        <v>#DIV/0!</v>
      </c>
      <c r="V127" s="62" t="e">
        <f t="shared" si="158"/>
        <v>#DIV/0!</v>
      </c>
      <c r="W127" s="59" t="e">
        <f t="shared" si="161"/>
        <v>#DIV/0!</v>
      </c>
      <c r="X127" s="101" t="e">
        <f t="shared" si="162"/>
        <v>#DIV/0!</v>
      </c>
      <c r="Y127" s="104"/>
      <c r="AA127" s="62" t="e">
        <f t="shared" si="163"/>
        <v>#DIV/0!</v>
      </c>
      <c r="AN127" s="55"/>
      <c r="AP127" s="59" t="s">
        <v>8</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8"/>
        <v>#DIV/0!</v>
      </c>
      <c r="D128" s="62" t="e">
        <f t="shared" si="139"/>
        <v>#DIV/0!</v>
      </c>
      <c r="E128" s="59">
        <f t="shared" si="92"/>
        <v>36.999999999999901</v>
      </c>
      <c r="F128" s="59" t="e">
        <f t="shared" si="93"/>
        <v>#DIV/0!</v>
      </c>
      <c r="G128" s="59" t="e">
        <f t="shared" si="94"/>
        <v>#DIV/0!</v>
      </c>
      <c r="H128" s="62" t="e">
        <f t="shared" si="140"/>
        <v>#DIV/0!</v>
      </c>
      <c r="I128" s="62" t="e">
        <f t="shared" si="141"/>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4"/>
        <v>#DIV/0!</v>
      </c>
      <c r="S128" s="62" t="e">
        <f t="shared" si="155"/>
        <v>#DIV/0!</v>
      </c>
      <c r="T128" s="62" t="e">
        <f t="shared" si="156"/>
        <v>#DIV/0!</v>
      </c>
      <c r="U128" s="62" t="e">
        <f t="shared" si="157"/>
        <v>#DIV/0!</v>
      </c>
      <c r="V128" s="62" t="e">
        <f t="shared" si="158"/>
        <v>#DIV/0!</v>
      </c>
      <c r="W128" s="59" t="e">
        <f t="shared" si="161"/>
        <v>#DIV/0!</v>
      </c>
      <c r="X128" s="101" t="e">
        <f t="shared" si="162"/>
        <v>#DIV/0!</v>
      </c>
      <c r="Y128" s="104"/>
      <c r="AA128" s="62" t="e">
        <f t="shared" si="163"/>
        <v>#DIV/0!</v>
      </c>
      <c r="AN128" s="55"/>
    </row>
    <row r="129" spans="1:77" x14ac:dyDescent="0.5">
      <c r="A129" s="49"/>
      <c r="B129" s="62">
        <v>0.35999999999999899</v>
      </c>
      <c r="C129" s="62" t="e">
        <f t="shared" ref="C129:C152" si="167">I129/$U$66</f>
        <v>#DIV/0!</v>
      </c>
      <c r="D129" s="62" t="e">
        <f t="shared" ref="D129:D152" si="168">L129/$U$67</f>
        <v>#DIV/0!</v>
      </c>
      <c r="E129" s="59">
        <f t="shared" si="92"/>
        <v>35.999999999999901</v>
      </c>
      <c r="F129" s="59" t="e">
        <f t="shared" si="93"/>
        <v>#DIV/0!</v>
      </c>
      <c r="G129" s="59" t="e">
        <f t="shared" si="94"/>
        <v>#DIV/0!</v>
      </c>
      <c r="H129" s="62" t="e">
        <f t="shared" ref="H129:H160" si="169">IF(OR($Z$64=1,$Z$64=2,$Z$64=3),$U$64*B129,IF($Z$64=4,T174,IF($Z$64=5,AI227,NA())))</f>
        <v>#DIV/0!</v>
      </c>
      <c r="I129" s="62" t="e">
        <f t="shared" ref="I129:I160" si="170">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4"/>
        <v>#DIV/0!</v>
      </c>
      <c r="S129" s="62" t="e">
        <f t="shared" si="155"/>
        <v>#DIV/0!</v>
      </c>
      <c r="T129" s="62" t="e">
        <f t="shared" si="156"/>
        <v>#DIV/0!</v>
      </c>
      <c r="U129" s="62" t="e">
        <f t="shared" si="157"/>
        <v>#DIV/0!</v>
      </c>
      <c r="V129" s="62" t="e">
        <f t="shared" si="158"/>
        <v>#DIV/0!</v>
      </c>
      <c r="W129" s="59" t="e">
        <f t="shared" si="161"/>
        <v>#DIV/0!</v>
      </c>
      <c r="X129" s="101" t="e">
        <f t="shared" si="162"/>
        <v>#DIV/0!</v>
      </c>
      <c r="Y129" s="104"/>
      <c r="AA129" s="62" t="e">
        <f t="shared" si="163"/>
        <v>#DIV/0!</v>
      </c>
      <c r="AN129" s="55"/>
    </row>
    <row r="130" spans="1:77" x14ac:dyDescent="0.5">
      <c r="A130" s="49"/>
      <c r="B130" s="62">
        <v>0.34999999999999898</v>
      </c>
      <c r="C130" s="62" t="e">
        <f t="shared" si="167"/>
        <v>#DIV/0!</v>
      </c>
      <c r="D130" s="62" t="e">
        <f t="shared" si="168"/>
        <v>#DIV/0!</v>
      </c>
      <c r="E130" s="59">
        <f t="shared" ref="E130:E152" si="171">B130*100</f>
        <v>34.999999999999901</v>
      </c>
      <c r="F130" s="59" t="e">
        <f t="shared" ref="F130:F152" si="172">C130*100</f>
        <v>#DIV/0!</v>
      </c>
      <c r="G130" s="59" t="e">
        <f t="shared" ref="G130:G152" si="173">D130*100</f>
        <v>#DIV/0!</v>
      </c>
      <c r="H130" s="62" t="e">
        <f t="shared" si="169"/>
        <v>#DIV/0!</v>
      </c>
      <c r="I130" s="62" t="e">
        <f t="shared" si="170"/>
        <v>#DIV/0!</v>
      </c>
      <c r="J130" s="62" t="e">
        <f t="shared" ref="J130:J152" si="174">I130-$AP$4</f>
        <v>#DIV/0!</v>
      </c>
      <c r="K130" s="62" t="e">
        <f t="shared" ref="K130:K152" si="175">I130+$AP$4</f>
        <v>#DIV/0!</v>
      </c>
      <c r="L130" s="62" t="e">
        <f t="shared" ref="L130:L152" si="176">H130*I130</f>
        <v>#DIV/0!</v>
      </c>
      <c r="M130" s="62" t="e">
        <f t="shared" ref="M130:M152" si="177">J130*H130</f>
        <v>#DIV/0!</v>
      </c>
      <c r="N130" s="62" t="e">
        <f t="shared" ref="N130:N152" si="178">K130*H130</f>
        <v>#DIV/0!</v>
      </c>
      <c r="O130" s="17" t="e">
        <f t="shared" si="106"/>
        <v>#DIV/0!</v>
      </c>
      <c r="Q130" s="62">
        <v>0.8</v>
      </c>
      <c r="R130" s="62" t="e">
        <f t="shared" si="154"/>
        <v>#DIV/0!</v>
      </c>
      <c r="S130" s="62" t="e">
        <f t="shared" si="155"/>
        <v>#DIV/0!</v>
      </c>
      <c r="T130" s="62" t="e">
        <f t="shared" si="156"/>
        <v>#DIV/0!</v>
      </c>
      <c r="U130" s="62" t="e">
        <f t="shared" si="157"/>
        <v>#DIV/0!</v>
      </c>
      <c r="V130" s="62" t="e">
        <f t="shared" si="158"/>
        <v>#DIV/0!</v>
      </c>
      <c r="W130" s="59" t="e">
        <f t="shared" si="161"/>
        <v>#DIV/0!</v>
      </c>
      <c r="X130" s="101" t="e">
        <f t="shared" si="162"/>
        <v>#DIV/0!</v>
      </c>
      <c r="Y130" s="104"/>
      <c r="AA130" s="62" t="e">
        <f t="shared" si="163"/>
        <v>#DIV/0!</v>
      </c>
      <c r="AN130" s="55"/>
      <c r="AP130" s="59" t="s">
        <v>58</v>
      </c>
      <c r="AT130" s="63" t="e">
        <f>-AT119/AT120</f>
        <v>#DIV/0!</v>
      </c>
    </row>
    <row r="131" spans="1:77" x14ac:dyDescent="0.5">
      <c r="A131" s="49"/>
      <c r="B131" s="62">
        <v>0.33999999999999903</v>
      </c>
      <c r="C131" s="62" t="e">
        <f t="shared" si="167"/>
        <v>#DIV/0!</v>
      </c>
      <c r="D131" s="62" t="e">
        <f t="shared" si="168"/>
        <v>#DIV/0!</v>
      </c>
      <c r="E131" s="59">
        <f t="shared" si="171"/>
        <v>33.999999999999901</v>
      </c>
      <c r="F131" s="59" t="e">
        <f t="shared" si="172"/>
        <v>#DIV/0!</v>
      </c>
      <c r="G131" s="59" t="e">
        <f t="shared" si="173"/>
        <v>#DIV/0!</v>
      </c>
      <c r="H131" s="62" t="e">
        <f t="shared" si="169"/>
        <v>#DIV/0!</v>
      </c>
      <c r="I131" s="62" t="e">
        <f t="shared" si="170"/>
        <v>#DIV/0!</v>
      </c>
      <c r="J131" s="62" t="e">
        <f t="shared" si="174"/>
        <v>#DIV/0!</v>
      </c>
      <c r="K131" s="62" t="e">
        <f t="shared" si="175"/>
        <v>#DIV/0!</v>
      </c>
      <c r="L131" s="62" t="e">
        <f t="shared" si="176"/>
        <v>#DIV/0!</v>
      </c>
      <c r="M131" s="62" t="e">
        <f t="shared" si="177"/>
        <v>#DIV/0!</v>
      </c>
      <c r="N131" s="62" t="e">
        <f t="shared" si="178"/>
        <v>#DIV/0!</v>
      </c>
      <c r="O131" s="17" t="e">
        <f t="shared" si="106"/>
        <v>#DIV/0!</v>
      </c>
      <c r="Q131" s="62">
        <v>0.79</v>
      </c>
      <c r="R131" s="62" t="e">
        <f t="shared" si="154"/>
        <v>#DIV/0!</v>
      </c>
      <c r="S131" s="62" t="e">
        <f t="shared" si="155"/>
        <v>#DIV/0!</v>
      </c>
      <c r="T131" s="62" t="e">
        <f t="shared" si="156"/>
        <v>#DIV/0!</v>
      </c>
      <c r="U131" s="62" t="e">
        <f t="shared" si="157"/>
        <v>#DIV/0!</v>
      </c>
      <c r="V131" s="62" t="e">
        <f t="shared" si="158"/>
        <v>#DIV/0!</v>
      </c>
      <c r="W131" s="59" t="e">
        <f t="shared" si="161"/>
        <v>#DIV/0!</v>
      </c>
      <c r="X131" s="101" t="e">
        <f t="shared" si="162"/>
        <v>#DIV/0!</v>
      </c>
      <c r="Y131" s="104"/>
      <c r="AA131" s="62" t="e">
        <f t="shared" si="163"/>
        <v>#DIV/0!</v>
      </c>
      <c r="AN131" s="55"/>
      <c r="AP131" s="59" t="s">
        <v>298</v>
      </c>
      <c r="AT131" s="63" t="e">
        <f>AT119*AT130/4</f>
        <v>#DIV/0!</v>
      </c>
    </row>
    <row r="132" spans="1:77" x14ac:dyDescent="0.5">
      <c r="A132" s="49"/>
      <c r="B132" s="62">
        <v>0.32999999999999902</v>
      </c>
      <c r="C132" s="62" t="e">
        <f t="shared" si="167"/>
        <v>#DIV/0!</v>
      </c>
      <c r="D132" s="62" t="e">
        <f t="shared" si="168"/>
        <v>#DIV/0!</v>
      </c>
      <c r="E132" s="59">
        <f t="shared" si="171"/>
        <v>32.999999999999901</v>
      </c>
      <c r="F132" s="59" t="e">
        <f t="shared" si="172"/>
        <v>#DIV/0!</v>
      </c>
      <c r="G132" s="59" t="e">
        <f t="shared" si="173"/>
        <v>#DIV/0!</v>
      </c>
      <c r="H132" s="62" t="e">
        <f t="shared" si="169"/>
        <v>#DIV/0!</v>
      </c>
      <c r="I132" s="62" t="e">
        <f t="shared" si="170"/>
        <v>#DIV/0!</v>
      </c>
      <c r="J132" s="62" t="e">
        <f t="shared" si="174"/>
        <v>#DIV/0!</v>
      </c>
      <c r="K132" s="62" t="e">
        <f t="shared" si="175"/>
        <v>#DIV/0!</v>
      </c>
      <c r="L132" s="62" t="e">
        <f t="shared" si="176"/>
        <v>#DIV/0!</v>
      </c>
      <c r="M132" s="62" t="e">
        <f t="shared" si="177"/>
        <v>#DIV/0!</v>
      </c>
      <c r="N132" s="62" t="e">
        <f t="shared" si="178"/>
        <v>#DIV/0!</v>
      </c>
      <c r="O132" s="17" t="e">
        <f t="shared" si="106"/>
        <v>#DIV/0!</v>
      </c>
      <c r="Q132" s="62">
        <v>0.78</v>
      </c>
      <c r="R132" s="62" t="e">
        <f t="shared" si="154"/>
        <v>#DIV/0!</v>
      </c>
      <c r="S132" s="62" t="e">
        <f t="shared" si="155"/>
        <v>#DIV/0!</v>
      </c>
      <c r="T132" s="62" t="e">
        <f t="shared" si="156"/>
        <v>#DIV/0!</v>
      </c>
      <c r="U132" s="62" t="e">
        <f t="shared" si="157"/>
        <v>#DIV/0!</v>
      </c>
      <c r="V132" s="62" t="e">
        <f t="shared" si="158"/>
        <v>#DIV/0!</v>
      </c>
      <c r="W132" s="59" t="e">
        <f t="shared" si="161"/>
        <v>#DIV/0!</v>
      </c>
      <c r="X132" s="101" t="e">
        <f t="shared" si="162"/>
        <v>#DIV/0!</v>
      </c>
      <c r="Y132" s="104"/>
      <c r="AA132" s="62" t="e">
        <f t="shared" si="163"/>
        <v>#DIV/0!</v>
      </c>
      <c r="AN132" s="55"/>
      <c r="AP132" s="59" t="s">
        <v>295</v>
      </c>
      <c r="AT132" s="63" t="e">
        <f>AT119*0.5</f>
        <v>#DIV/0!</v>
      </c>
    </row>
    <row r="133" spans="1:77" x14ac:dyDescent="0.5">
      <c r="A133" s="49"/>
      <c r="B133" s="62">
        <v>0.31999999999999901</v>
      </c>
      <c r="C133" s="62" t="e">
        <f t="shared" si="167"/>
        <v>#DIV/0!</v>
      </c>
      <c r="D133" s="62" t="e">
        <f t="shared" si="168"/>
        <v>#DIV/0!</v>
      </c>
      <c r="E133" s="59">
        <f t="shared" si="171"/>
        <v>31.999999999999901</v>
      </c>
      <c r="F133" s="59" t="e">
        <f t="shared" si="172"/>
        <v>#DIV/0!</v>
      </c>
      <c r="G133" s="59" t="e">
        <f t="shared" si="173"/>
        <v>#DIV/0!</v>
      </c>
      <c r="H133" s="62" t="e">
        <f t="shared" si="169"/>
        <v>#DIV/0!</v>
      </c>
      <c r="I133" s="62" t="e">
        <f t="shared" si="170"/>
        <v>#DIV/0!</v>
      </c>
      <c r="J133" s="62" t="e">
        <f t="shared" si="174"/>
        <v>#DIV/0!</v>
      </c>
      <c r="K133" s="62" t="e">
        <f t="shared" si="175"/>
        <v>#DIV/0!</v>
      </c>
      <c r="L133" s="62" t="e">
        <f t="shared" si="176"/>
        <v>#DIV/0!</v>
      </c>
      <c r="M133" s="62" t="e">
        <f t="shared" si="177"/>
        <v>#DIV/0!</v>
      </c>
      <c r="N133" s="62" t="e">
        <f t="shared" si="178"/>
        <v>#DIV/0!</v>
      </c>
      <c r="O133" s="17" t="e">
        <f t="shared" si="106"/>
        <v>#DIV/0!</v>
      </c>
      <c r="Q133" s="62">
        <v>0.77</v>
      </c>
      <c r="R133" s="62" t="e">
        <f t="shared" si="154"/>
        <v>#DIV/0!</v>
      </c>
      <c r="S133" s="62" t="e">
        <f t="shared" si="155"/>
        <v>#DIV/0!</v>
      </c>
      <c r="T133" s="62" t="e">
        <f t="shared" si="156"/>
        <v>#DIV/0!</v>
      </c>
      <c r="U133" s="62" t="e">
        <f t="shared" si="157"/>
        <v>#DIV/0!</v>
      </c>
      <c r="V133" s="62" t="e">
        <f t="shared" si="158"/>
        <v>#DIV/0!</v>
      </c>
      <c r="W133" s="59" t="e">
        <f t="shared" si="161"/>
        <v>#DIV/0!</v>
      </c>
      <c r="X133" s="101" t="e">
        <f t="shared" si="162"/>
        <v>#DIV/0!</v>
      </c>
      <c r="Y133" s="104"/>
      <c r="AA133" s="62" t="e">
        <f t="shared" si="163"/>
        <v>#DIV/0!</v>
      </c>
      <c r="AN133" s="55"/>
      <c r="AP133" s="59" t="s">
        <v>64</v>
      </c>
      <c r="AT133" s="63" t="e">
        <f>AT130*0.5</f>
        <v>#DIV/0!</v>
      </c>
    </row>
    <row r="134" spans="1:77" x14ac:dyDescent="0.5">
      <c r="A134" s="49"/>
      <c r="B134" s="62">
        <v>0.309999999999999</v>
      </c>
      <c r="C134" s="62" t="e">
        <f t="shared" si="167"/>
        <v>#DIV/0!</v>
      </c>
      <c r="D134" s="62" t="e">
        <f t="shared" si="168"/>
        <v>#DIV/0!</v>
      </c>
      <c r="E134" s="59">
        <f t="shared" si="171"/>
        <v>30.999999999999901</v>
      </c>
      <c r="F134" s="59" t="e">
        <f t="shared" si="172"/>
        <v>#DIV/0!</v>
      </c>
      <c r="G134" s="59" t="e">
        <f t="shared" si="173"/>
        <v>#DIV/0!</v>
      </c>
      <c r="H134" s="62" t="e">
        <f t="shared" si="169"/>
        <v>#DIV/0!</v>
      </c>
      <c r="I134" s="62" t="e">
        <f t="shared" si="170"/>
        <v>#DIV/0!</v>
      </c>
      <c r="J134" s="62" t="e">
        <f t="shared" si="174"/>
        <v>#DIV/0!</v>
      </c>
      <c r="K134" s="62" t="e">
        <f t="shared" si="175"/>
        <v>#DIV/0!</v>
      </c>
      <c r="L134" s="62" t="e">
        <f t="shared" si="176"/>
        <v>#DIV/0!</v>
      </c>
      <c r="M134" s="62" t="e">
        <f t="shared" si="177"/>
        <v>#DIV/0!</v>
      </c>
      <c r="N134" s="62" t="e">
        <f t="shared" si="178"/>
        <v>#DIV/0!</v>
      </c>
      <c r="O134" s="17" t="e">
        <f t="shared" si="106"/>
        <v>#DIV/0!</v>
      </c>
      <c r="Q134" s="62">
        <v>0.76</v>
      </c>
      <c r="R134" s="62" t="e">
        <f t="shared" si="154"/>
        <v>#DIV/0!</v>
      </c>
      <c r="S134" s="62" t="e">
        <f t="shared" si="155"/>
        <v>#DIV/0!</v>
      </c>
      <c r="T134" s="62" t="e">
        <f t="shared" si="156"/>
        <v>#DIV/0!</v>
      </c>
      <c r="U134" s="62" t="e">
        <f t="shared" si="157"/>
        <v>#DIV/0!</v>
      </c>
      <c r="V134" s="62" t="e">
        <f t="shared" si="158"/>
        <v>#DIV/0!</v>
      </c>
      <c r="W134" s="59" t="e">
        <f t="shared" si="161"/>
        <v>#DIV/0!</v>
      </c>
      <c r="X134" s="101" t="e">
        <f t="shared" si="162"/>
        <v>#DIV/0!</v>
      </c>
      <c r="Y134" s="104"/>
      <c r="AA134" s="62" t="e">
        <f t="shared" si="163"/>
        <v>#DIV/0!</v>
      </c>
      <c r="AN134" s="55"/>
    </row>
    <row r="135" spans="1:77" x14ac:dyDescent="0.5">
      <c r="A135" s="49"/>
      <c r="B135" s="62">
        <v>0.29999999999999899</v>
      </c>
      <c r="C135" s="62" t="e">
        <f t="shared" si="167"/>
        <v>#DIV/0!</v>
      </c>
      <c r="D135" s="62" t="e">
        <f t="shared" si="168"/>
        <v>#DIV/0!</v>
      </c>
      <c r="E135" s="59">
        <f t="shared" si="171"/>
        <v>29.999999999999901</v>
      </c>
      <c r="F135" s="59" t="e">
        <f t="shared" si="172"/>
        <v>#DIV/0!</v>
      </c>
      <c r="G135" s="59" t="e">
        <f t="shared" si="173"/>
        <v>#DIV/0!</v>
      </c>
      <c r="H135" s="62" t="e">
        <f t="shared" si="169"/>
        <v>#DIV/0!</v>
      </c>
      <c r="I135" s="62" t="e">
        <f t="shared" si="170"/>
        <v>#DIV/0!</v>
      </c>
      <c r="J135" s="62" t="e">
        <f t="shared" si="174"/>
        <v>#DIV/0!</v>
      </c>
      <c r="K135" s="62" t="e">
        <f t="shared" si="175"/>
        <v>#DIV/0!</v>
      </c>
      <c r="L135" s="62" t="e">
        <f t="shared" si="176"/>
        <v>#DIV/0!</v>
      </c>
      <c r="M135" s="62" t="e">
        <f t="shared" si="177"/>
        <v>#DIV/0!</v>
      </c>
      <c r="N135" s="62" t="e">
        <f t="shared" si="178"/>
        <v>#DIV/0!</v>
      </c>
      <c r="O135" s="17" t="e">
        <f t="shared" si="106"/>
        <v>#DIV/0!</v>
      </c>
      <c r="Q135" s="62">
        <v>0.75</v>
      </c>
      <c r="R135" s="62" t="e">
        <f t="shared" si="154"/>
        <v>#DIV/0!</v>
      </c>
      <c r="S135" s="62" t="e">
        <f t="shared" si="155"/>
        <v>#DIV/0!</v>
      </c>
      <c r="T135" s="62" t="e">
        <f t="shared" si="156"/>
        <v>#DIV/0!</v>
      </c>
      <c r="U135" s="62" t="e">
        <f t="shared" si="157"/>
        <v>#DIV/0!</v>
      </c>
      <c r="V135" s="62" t="e">
        <f t="shared" si="158"/>
        <v>#DIV/0!</v>
      </c>
      <c r="W135" s="59" t="e">
        <f t="shared" si="161"/>
        <v>#DIV/0!</v>
      </c>
      <c r="X135" s="101" t="e">
        <f t="shared" si="162"/>
        <v>#DIV/0!</v>
      </c>
      <c r="Y135" s="104"/>
      <c r="AA135" s="62" t="e">
        <f t="shared" si="163"/>
        <v>#DIV/0!</v>
      </c>
      <c r="AN135" s="55"/>
      <c r="AP135" s="53" t="s">
        <v>40</v>
      </c>
      <c r="BI135" s="53" t="s">
        <v>40</v>
      </c>
    </row>
    <row r="136" spans="1:77" x14ac:dyDescent="0.5">
      <c r="A136" s="49"/>
      <c r="B136" s="62">
        <v>0.28999999999999898</v>
      </c>
      <c r="C136" s="62" t="e">
        <f t="shared" si="167"/>
        <v>#DIV/0!</v>
      </c>
      <c r="D136" s="62" t="e">
        <f t="shared" si="168"/>
        <v>#DIV/0!</v>
      </c>
      <c r="E136" s="59">
        <f t="shared" si="171"/>
        <v>28.999999999999897</v>
      </c>
      <c r="F136" s="59" t="e">
        <f t="shared" si="172"/>
        <v>#DIV/0!</v>
      </c>
      <c r="G136" s="59" t="e">
        <f t="shared" si="173"/>
        <v>#DIV/0!</v>
      </c>
      <c r="H136" s="62" t="e">
        <f t="shared" si="169"/>
        <v>#DIV/0!</v>
      </c>
      <c r="I136" s="62" t="e">
        <f t="shared" si="170"/>
        <v>#DIV/0!</v>
      </c>
      <c r="J136" s="62" t="e">
        <f t="shared" si="174"/>
        <v>#DIV/0!</v>
      </c>
      <c r="K136" s="62" t="e">
        <f t="shared" si="175"/>
        <v>#DIV/0!</v>
      </c>
      <c r="L136" s="62" t="e">
        <f t="shared" si="176"/>
        <v>#DIV/0!</v>
      </c>
      <c r="M136" s="62" t="e">
        <f t="shared" si="177"/>
        <v>#DIV/0!</v>
      </c>
      <c r="N136" s="62" t="e">
        <f t="shared" si="178"/>
        <v>#DIV/0!</v>
      </c>
      <c r="O136" s="17" t="e">
        <f t="shared" ref="O136:O160" si="179">SLOPE(I131:I141,E131:E141)</f>
        <v>#DIV/0!</v>
      </c>
      <c r="Q136" s="62">
        <v>0.74</v>
      </c>
      <c r="R136" s="62" t="e">
        <f t="shared" si="154"/>
        <v>#DIV/0!</v>
      </c>
      <c r="S136" s="62" t="e">
        <f t="shared" si="155"/>
        <v>#DIV/0!</v>
      </c>
      <c r="T136" s="62" t="e">
        <f t="shared" si="156"/>
        <v>#DIV/0!</v>
      </c>
      <c r="U136" s="62" t="e">
        <f t="shared" si="157"/>
        <v>#DIV/0!</v>
      </c>
      <c r="V136" s="62" t="e">
        <f t="shared" si="158"/>
        <v>#DIV/0!</v>
      </c>
      <c r="W136" s="59" t="e">
        <f t="shared" si="161"/>
        <v>#DIV/0!</v>
      </c>
      <c r="X136" s="101" t="e">
        <f t="shared" si="162"/>
        <v>#DIV/0!</v>
      </c>
      <c r="Y136" s="104"/>
      <c r="AA136" s="62" t="e">
        <f t="shared" si="163"/>
        <v>#DIV/0!</v>
      </c>
      <c r="AN136" s="55"/>
      <c r="AP136" s="67" t="s">
        <v>17</v>
      </c>
      <c r="AQ136" s="59"/>
      <c r="AR136" s="63" t="str">
        <f t="shared" ref="AR136:BF136" si="180">IF(AR9="","",(1/(1+EXP($AT$122-AR9/$AT$119)^$AT$121))*((AR9-$AT$119)/$AT$120)+(1/(1+EXP(AR9/$AT$119-$AT$122)^$AT$121))*((($AT$116-AR9)*$AT$118)/(AR9+$AT$117)))</f>
        <v/>
      </c>
      <c r="AS136" s="63" t="str">
        <f>IF(AS9="","",(1/(1+EXP($AT$122-AS9/$AT$119)^$AT$121))*((AS9-$AT$119)/$AT$120)+(1/(1+EXP(AS9/$AT$119-$AT$122)^$AT$121))*((($AT$116-AS9)*$AT$118)/(AS9+$AT$117)))</f>
        <v/>
      </c>
      <c r="AT136" s="63" t="str">
        <f t="shared" si="180"/>
        <v/>
      </c>
      <c r="AU136" s="63" t="str">
        <f t="shared" si="180"/>
        <v/>
      </c>
      <c r="AV136" s="63" t="str">
        <f t="shared" si="180"/>
        <v/>
      </c>
      <c r="AW136" s="63" t="str">
        <f t="shared" si="180"/>
        <v/>
      </c>
      <c r="AX136" s="63" t="str">
        <f t="shared" si="180"/>
        <v/>
      </c>
      <c r="AY136" s="63" t="str">
        <f t="shared" si="180"/>
        <v/>
      </c>
      <c r="AZ136" s="63" t="str">
        <f t="shared" si="180"/>
        <v/>
      </c>
      <c r="BA136" s="63" t="str">
        <f t="shared" si="180"/>
        <v/>
      </c>
      <c r="BB136" s="63" t="str">
        <f t="shared" si="180"/>
        <v/>
      </c>
      <c r="BC136" s="63" t="str">
        <f t="shared" si="180"/>
        <v/>
      </c>
      <c r="BD136" s="63" t="str">
        <f t="shared" si="180"/>
        <v/>
      </c>
      <c r="BE136" s="63" t="str">
        <f t="shared" si="180"/>
        <v/>
      </c>
      <c r="BF136" s="63" t="str">
        <f t="shared" si="180"/>
        <v/>
      </c>
      <c r="BI136" s="67" t="s">
        <v>17</v>
      </c>
      <c r="BJ136" s="59"/>
      <c r="BK136" s="63" t="e">
        <f t="shared" ref="BK136:BY136" si="181">IF(AR9="",NA(),(1/(1+EXP($AT$122-AR9/$AT$119)^$AT$121))*((AR9-$AT$119)/$AT$120)+(1/(1+EXP(AR9/$AT$119-$AT$122)^$AT$121))*((($AT$116-AR9)*$AT$118)/(AR9+$AT$117)))</f>
        <v>#N/A</v>
      </c>
      <c r="BL136" s="63" t="e">
        <f t="shared" si="181"/>
        <v>#N/A</v>
      </c>
      <c r="BM136" s="63" t="e">
        <f t="shared" si="181"/>
        <v>#N/A</v>
      </c>
      <c r="BN136" s="63" t="e">
        <f t="shared" si="181"/>
        <v>#N/A</v>
      </c>
      <c r="BO136" s="63" t="e">
        <f t="shared" si="181"/>
        <v>#N/A</v>
      </c>
      <c r="BP136" s="63" t="e">
        <f t="shared" si="181"/>
        <v>#N/A</v>
      </c>
      <c r="BQ136" s="63" t="e">
        <f t="shared" si="181"/>
        <v>#N/A</v>
      </c>
      <c r="BR136" s="63" t="e">
        <f t="shared" si="181"/>
        <v>#N/A</v>
      </c>
      <c r="BS136" s="63" t="e">
        <f t="shared" si="181"/>
        <v>#N/A</v>
      </c>
      <c r="BT136" s="63" t="e">
        <f t="shared" si="181"/>
        <v>#N/A</v>
      </c>
      <c r="BU136" s="63" t="e">
        <f t="shared" si="181"/>
        <v>#N/A</v>
      </c>
      <c r="BV136" s="63" t="e">
        <f t="shared" si="181"/>
        <v>#N/A</v>
      </c>
      <c r="BW136" s="63" t="e">
        <f t="shared" si="181"/>
        <v>#N/A</v>
      </c>
      <c r="BX136" s="63" t="e">
        <f t="shared" si="181"/>
        <v>#N/A</v>
      </c>
      <c r="BY136" s="63" t="e">
        <f t="shared" si="181"/>
        <v>#N/A</v>
      </c>
    </row>
    <row r="137" spans="1:77" x14ac:dyDescent="0.5">
      <c r="A137" s="49"/>
      <c r="B137" s="62">
        <v>0.27999999999999903</v>
      </c>
      <c r="C137" s="62" t="e">
        <f t="shared" si="167"/>
        <v>#DIV/0!</v>
      </c>
      <c r="D137" s="62" t="e">
        <f t="shared" si="168"/>
        <v>#DIV/0!</v>
      </c>
      <c r="E137" s="59">
        <f t="shared" si="171"/>
        <v>27.999999999999904</v>
      </c>
      <c r="F137" s="59" t="e">
        <f t="shared" si="172"/>
        <v>#DIV/0!</v>
      </c>
      <c r="G137" s="59" t="e">
        <f t="shared" si="173"/>
        <v>#DIV/0!</v>
      </c>
      <c r="H137" s="62" t="e">
        <f t="shared" si="169"/>
        <v>#DIV/0!</v>
      </c>
      <c r="I137" s="62" t="e">
        <f t="shared" si="170"/>
        <v>#DIV/0!</v>
      </c>
      <c r="J137" s="62" t="e">
        <f t="shared" si="174"/>
        <v>#DIV/0!</v>
      </c>
      <c r="K137" s="62" t="e">
        <f t="shared" si="175"/>
        <v>#DIV/0!</v>
      </c>
      <c r="L137" s="62" t="e">
        <f t="shared" si="176"/>
        <v>#DIV/0!</v>
      </c>
      <c r="M137" s="62" t="e">
        <f t="shared" si="177"/>
        <v>#DIV/0!</v>
      </c>
      <c r="N137" s="62" t="e">
        <f t="shared" si="178"/>
        <v>#DIV/0!</v>
      </c>
      <c r="O137" s="17" t="e">
        <f t="shared" si="179"/>
        <v>#DIV/0!</v>
      </c>
      <c r="Q137" s="62">
        <v>0.73</v>
      </c>
      <c r="R137" s="62" t="e">
        <f t="shared" si="154"/>
        <v>#DIV/0!</v>
      </c>
      <c r="S137" s="62" t="e">
        <f t="shared" si="155"/>
        <v>#DIV/0!</v>
      </c>
      <c r="T137" s="62" t="e">
        <f t="shared" si="156"/>
        <v>#DIV/0!</v>
      </c>
      <c r="U137" s="62" t="e">
        <f t="shared" si="157"/>
        <v>#DIV/0!</v>
      </c>
      <c r="V137" s="62" t="e">
        <f t="shared" si="158"/>
        <v>#DIV/0!</v>
      </c>
      <c r="W137" s="59" t="e">
        <f t="shared" si="161"/>
        <v>#DIV/0!</v>
      </c>
      <c r="X137" s="101" t="e">
        <f t="shared" si="162"/>
        <v>#DIV/0!</v>
      </c>
      <c r="Y137" s="104"/>
      <c r="AA137" s="62" t="e">
        <f t="shared" si="163"/>
        <v>#DIV/0!</v>
      </c>
      <c r="AN137" s="55"/>
      <c r="AP137" s="59" t="s">
        <v>35</v>
      </c>
      <c r="AQ137" s="59"/>
      <c r="AR137" s="63" t="str">
        <f t="shared" ref="AR137:BF137" si="182">IF(AR9="","",AR136-$AP$4)</f>
        <v/>
      </c>
      <c r="AS137" s="63" t="str">
        <f t="shared" si="182"/>
        <v/>
      </c>
      <c r="AT137" s="63" t="str">
        <f t="shared" si="182"/>
        <v/>
      </c>
      <c r="AU137" s="63" t="str">
        <f t="shared" si="182"/>
        <v/>
      </c>
      <c r="AV137" s="63" t="str">
        <f t="shared" si="182"/>
        <v/>
      </c>
      <c r="AW137" s="63" t="str">
        <f t="shared" si="182"/>
        <v/>
      </c>
      <c r="AX137" s="63" t="str">
        <f t="shared" si="182"/>
        <v/>
      </c>
      <c r="AY137" s="63" t="str">
        <f t="shared" si="182"/>
        <v/>
      </c>
      <c r="AZ137" s="63" t="str">
        <f t="shared" si="182"/>
        <v/>
      </c>
      <c r="BA137" s="63" t="str">
        <f t="shared" si="182"/>
        <v/>
      </c>
      <c r="BB137" s="63" t="str">
        <f t="shared" si="182"/>
        <v/>
      </c>
      <c r="BC137" s="63" t="str">
        <f t="shared" si="182"/>
        <v/>
      </c>
      <c r="BD137" s="63" t="str">
        <f t="shared" si="182"/>
        <v/>
      </c>
      <c r="BE137" s="63" t="str">
        <f t="shared" si="182"/>
        <v/>
      </c>
      <c r="BF137" s="63" t="str">
        <f t="shared" si="182"/>
        <v/>
      </c>
      <c r="BI137" s="59" t="s">
        <v>35</v>
      </c>
      <c r="BJ137" s="59"/>
      <c r="BK137" s="63" t="e">
        <f t="shared" ref="BK137:BY137" si="183">IF(AR9="",NA(),AR136-$AP$4)</f>
        <v>#N/A</v>
      </c>
      <c r="BL137" s="63" t="e">
        <f t="shared" si="183"/>
        <v>#N/A</v>
      </c>
      <c r="BM137" s="63" t="e">
        <f t="shared" si="183"/>
        <v>#N/A</v>
      </c>
      <c r="BN137" s="63" t="e">
        <f t="shared" si="183"/>
        <v>#N/A</v>
      </c>
      <c r="BO137" s="63" t="e">
        <f t="shared" si="183"/>
        <v>#N/A</v>
      </c>
      <c r="BP137" s="63" t="e">
        <f t="shared" si="183"/>
        <v>#N/A</v>
      </c>
      <c r="BQ137" s="63" t="e">
        <f t="shared" si="183"/>
        <v>#N/A</v>
      </c>
      <c r="BR137" s="63" t="e">
        <f t="shared" si="183"/>
        <v>#N/A</v>
      </c>
      <c r="BS137" s="63" t="e">
        <f t="shared" si="183"/>
        <v>#N/A</v>
      </c>
      <c r="BT137" s="63" t="e">
        <f t="shared" si="183"/>
        <v>#N/A</v>
      </c>
      <c r="BU137" s="63" t="e">
        <f t="shared" si="183"/>
        <v>#N/A</v>
      </c>
      <c r="BV137" s="63" t="e">
        <f t="shared" si="183"/>
        <v>#N/A</v>
      </c>
      <c r="BW137" s="63" t="e">
        <f t="shared" si="183"/>
        <v>#N/A</v>
      </c>
      <c r="BX137" s="63" t="e">
        <f t="shared" si="183"/>
        <v>#N/A</v>
      </c>
      <c r="BY137" s="63" t="e">
        <f t="shared" si="183"/>
        <v>#N/A</v>
      </c>
    </row>
    <row r="138" spans="1:77" x14ac:dyDescent="0.5">
      <c r="A138" s="49"/>
      <c r="B138" s="62">
        <v>0.26999999999999902</v>
      </c>
      <c r="C138" s="62" t="e">
        <f t="shared" si="167"/>
        <v>#DIV/0!</v>
      </c>
      <c r="D138" s="62" t="e">
        <f t="shared" si="168"/>
        <v>#DIV/0!</v>
      </c>
      <c r="E138" s="59">
        <f t="shared" si="171"/>
        <v>26.999999999999901</v>
      </c>
      <c r="F138" s="59" t="e">
        <f t="shared" si="172"/>
        <v>#DIV/0!</v>
      </c>
      <c r="G138" s="59" t="e">
        <f t="shared" si="173"/>
        <v>#DIV/0!</v>
      </c>
      <c r="H138" s="62" t="e">
        <f t="shared" si="169"/>
        <v>#DIV/0!</v>
      </c>
      <c r="I138" s="62" t="e">
        <f t="shared" si="170"/>
        <v>#DIV/0!</v>
      </c>
      <c r="J138" s="62" t="e">
        <f t="shared" si="174"/>
        <v>#DIV/0!</v>
      </c>
      <c r="K138" s="62" t="e">
        <f t="shared" si="175"/>
        <v>#DIV/0!</v>
      </c>
      <c r="L138" s="62" t="e">
        <f t="shared" si="176"/>
        <v>#DIV/0!</v>
      </c>
      <c r="M138" s="62" t="e">
        <f t="shared" si="177"/>
        <v>#DIV/0!</v>
      </c>
      <c r="N138" s="62" t="e">
        <f t="shared" si="178"/>
        <v>#DIV/0!</v>
      </c>
      <c r="O138" s="17" t="e">
        <f t="shared" si="179"/>
        <v>#DIV/0!</v>
      </c>
      <c r="Q138" s="62">
        <v>0.72</v>
      </c>
      <c r="R138" s="62" t="e">
        <f t="shared" si="154"/>
        <v>#DIV/0!</v>
      </c>
      <c r="S138" s="62" t="e">
        <f t="shared" si="155"/>
        <v>#DIV/0!</v>
      </c>
      <c r="T138" s="62" t="e">
        <f t="shared" si="156"/>
        <v>#DIV/0!</v>
      </c>
      <c r="U138" s="62" t="e">
        <f t="shared" si="157"/>
        <v>#DIV/0!</v>
      </c>
      <c r="V138" s="62" t="e">
        <f t="shared" si="158"/>
        <v>#DIV/0!</v>
      </c>
      <c r="W138" s="59" t="e">
        <f t="shared" si="161"/>
        <v>#DIV/0!</v>
      </c>
      <c r="X138" s="101" t="e">
        <f t="shared" si="162"/>
        <v>#DIV/0!</v>
      </c>
      <c r="Y138" s="104"/>
      <c r="AA138" s="62" t="e">
        <f t="shared" si="163"/>
        <v>#DIV/0!</v>
      </c>
      <c r="AN138" s="55"/>
      <c r="AP138" s="59" t="s">
        <v>36</v>
      </c>
      <c r="AQ138" s="59"/>
      <c r="AR138" s="63" t="str">
        <f t="shared" ref="AR138:BF138" si="184">IF(AR9="","",AR136+$AP$4)</f>
        <v/>
      </c>
      <c r="AS138" s="63" t="str">
        <f t="shared" si="184"/>
        <v/>
      </c>
      <c r="AT138" s="63" t="str">
        <f t="shared" si="184"/>
        <v/>
      </c>
      <c r="AU138" s="63" t="str">
        <f t="shared" si="184"/>
        <v/>
      </c>
      <c r="AV138" s="63" t="str">
        <f t="shared" si="184"/>
        <v/>
      </c>
      <c r="AW138" s="63" t="str">
        <f t="shared" si="184"/>
        <v/>
      </c>
      <c r="AX138" s="63" t="str">
        <f t="shared" si="184"/>
        <v/>
      </c>
      <c r="AY138" s="63" t="str">
        <f t="shared" si="184"/>
        <v/>
      </c>
      <c r="AZ138" s="63" t="str">
        <f t="shared" si="184"/>
        <v/>
      </c>
      <c r="BA138" s="63" t="str">
        <f t="shared" si="184"/>
        <v/>
      </c>
      <c r="BB138" s="63" t="str">
        <f t="shared" si="184"/>
        <v/>
      </c>
      <c r="BC138" s="63" t="str">
        <f t="shared" si="184"/>
        <v/>
      </c>
      <c r="BD138" s="63" t="str">
        <f t="shared" si="184"/>
        <v/>
      </c>
      <c r="BE138" s="63" t="str">
        <f t="shared" si="184"/>
        <v/>
      </c>
      <c r="BF138" s="63" t="str">
        <f t="shared" si="184"/>
        <v/>
      </c>
      <c r="BI138" s="59" t="s">
        <v>36</v>
      </c>
      <c r="BJ138" s="59"/>
      <c r="BK138" s="63" t="e">
        <f t="shared" ref="BK138:BY138" si="185">IF(AR9="",NA(),AR136+$AP$4)</f>
        <v>#N/A</v>
      </c>
      <c r="BL138" s="63" t="e">
        <f t="shared" si="185"/>
        <v>#N/A</v>
      </c>
      <c r="BM138" s="63" t="e">
        <f t="shared" si="185"/>
        <v>#N/A</v>
      </c>
      <c r="BN138" s="63" t="e">
        <f t="shared" si="185"/>
        <v>#N/A</v>
      </c>
      <c r="BO138" s="63" t="e">
        <f t="shared" si="185"/>
        <v>#N/A</v>
      </c>
      <c r="BP138" s="63" t="e">
        <f t="shared" si="185"/>
        <v>#N/A</v>
      </c>
      <c r="BQ138" s="63" t="e">
        <f t="shared" si="185"/>
        <v>#N/A</v>
      </c>
      <c r="BR138" s="63" t="e">
        <f t="shared" si="185"/>
        <v>#N/A</v>
      </c>
      <c r="BS138" s="63" t="e">
        <f t="shared" si="185"/>
        <v>#N/A</v>
      </c>
      <c r="BT138" s="63" t="e">
        <f t="shared" si="185"/>
        <v>#N/A</v>
      </c>
      <c r="BU138" s="63" t="e">
        <f t="shared" si="185"/>
        <v>#N/A</v>
      </c>
      <c r="BV138" s="63" t="e">
        <f t="shared" si="185"/>
        <v>#N/A</v>
      </c>
      <c r="BW138" s="63" t="e">
        <f t="shared" si="185"/>
        <v>#N/A</v>
      </c>
      <c r="BX138" s="63" t="e">
        <f t="shared" si="185"/>
        <v>#N/A</v>
      </c>
      <c r="BY138" s="63" t="e">
        <f t="shared" si="185"/>
        <v>#N/A</v>
      </c>
    </row>
    <row r="139" spans="1:77" x14ac:dyDescent="0.5">
      <c r="A139" s="49"/>
      <c r="B139" s="62">
        <v>0.25999999999999901</v>
      </c>
      <c r="C139" s="62" t="e">
        <f t="shared" si="167"/>
        <v>#DIV/0!</v>
      </c>
      <c r="D139" s="62" t="e">
        <f t="shared" si="168"/>
        <v>#DIV/0!</v>
      </c>
      <c r="E139" s="59">
        <f t="shared" si="171"/>
        <v>25.999999999999901</v>
      </c>
      <c r="F139" s="59" t="e">
        <f t="shared" si="172"/>
        <v>#DIV/0!</v>
      </c>
      <c r="G139" s="59" t="e">
        <f t="shared" si="173"/>
        <v>#DIV/0!</v>
      </c>
      <c r="H139" s="62" t="e">
        <f t="shared" si="169"/>
        <v>#DIV/0!</v>
      </c>
      <c r="I139" s="62" t="e">
        <f t="shared" si="170"/>
        <v>#DIV/0!</v>
      </c>
      <c r="J139" s="62" t="e">
        <f t="shared" si="174"/>
        <v>#DIV/0!</v>
      </c>
      <c r="K139" s="62" t="e">
        <f t="shared" si="175"/>
        <v>#DIV/0!</v>
      </c>
      <c r="L139" s="62" t="e">
        <f t="shared" si="176"/>
        <v>#DIV/0!</v>
      </c>
      <c r="M139" s="62" t="e">
        <f t="shared" si="177"/>
        <v>#DIV/0!</v>
      </c>
      <c r="N139" s="62" t="e">
        <f t="shared" si="178"/>
        <v>#DIV/0!</v>
      </c>
      <c r="O139" s="17" t="e">
        <f t="shared" si="179"/>
        <v>#DIV/0!</v>
      </c>
      <c r="Q139" s="62">
        <v>0.71</v>
      </c>
      <c r="R139" s="62" t="e">
        <f t="shared" si="154"/>
        <v>#DIV/0!</v>
      </c>
      <c r="S139" s="62" t="e">
        <f t="shared" si="155"/>
        <v>#DIV/0!</v>
      </c>
      <c r="T139" s="62" t="e">
        <f t="shared" si="156"/>
        <v>#DIV/0!</v>
      </c>
      <c r="U139" s="62" t="e">
        <f t="shared" si="157"/>
        <v>#DIV/0!</v>
      </c>
      <c r="V139" s="62" t="e">
        <f t="shared" si="158"/>
        <v>#DIV/0!</v>
      </c>
      <c r="W139" s="59" t="e">
        <f t="shared" si="161"/>
        <v>#DIV/0!</v>
      </c>
      <c r="X139" s="101" t="e">
        <f t="shared" si="162"/>
        <v>#DIV/0!</v>
      </c>
      <c r="Y139" s="104"/>
      <c r="AA139" s="62" t="e">
        <f t="shared" si="163"/>
        <v>#DIV/0!</v>
      </c>
      <c r="AN139" s="55"/>
    </row>
    <row r="140" spans="1:77" x14ac:dyDescent="0.5">
      <c r="A140" s="49"/>
      <c r="B140" s="62">
        <v>0.249999999999999</v>
      </c>
      <c r="C140" s="62" t="e">
        <f t="shared" si="167"/>
        <v>#DIV/0!</v>
      </c>
      <c r="D140" s="62" t="e">
        <f t="shared" si="168"/>
        <v>#DIV/0!</v>
      </c>
      <c r="E140" s="59">
        <f t="shared" si="171"/>
        <v>24.999999999999901</v>
      </c>
      <c r="F140" s="59" t="e">
        <f t="shared" si="172"/>
        <v>#DIV/0!</v>
      </c>
      <c r="G140" s="59" t="e">
        <f t="shared" si="173"/>
        <v>#DIV/0!</v>
      </c>
      <c r="H140" s="62" t="e">
        <f t="shared" si="169"/>
        <v>#DIV/0!</v>
      </c>
      <c r="I140" s="62" t="e">
        <f t="shared" si="170"/>
        <v>#DIV/0!</v>
      </c>
      <c r="J140" s="62" t="e">
        <f t="shared" si="174"/>
        <v>#DIV/0!</v>
      </c>
      <c r="K140" s="62" t="e">
        <f t="shared" si="175"/>
        <v>#DIV/0!</v>
      </c>
      <c r="L140" s="62" t="e">
        <f t="shared" si="176"/>
        <v>#DIV/0!</v>
      </c>
      <c r="M140" s="62" t="e">
        <f t="shared" si="177"/>
        <v>#DIV/0!</v>
      </c>
      <c r="N140" s="62" t="e">
        <f t="shared" si="178"/>
        <v>#DIV/0!</v>
      </c>
      <c r="O140" s="17" t="e">
        <f t="shared" si="179"/>
        <v>#DIV/0!</v>
      </c>
      <c r="Q140" s="62">
        <v>0.7</v>
      </c>
      <c r="R140" s="62" t="e">
        <f t="shared" si="154"/>
        <v>#DIV/0!</v>
      </c>
      <c r="S140" s="62" t="e">
        <f t="shared" si="155"/>
        <v>#DIV/0!</v>
      </c>
      <c r="T140" s="62" t="e">
        <f t="shared" si="156"/>
        <v>#DIV/0!</v>
      </c>
      <c r="U140" s="62" t="e">
        <f t="shared" si="157"/>
        <v>#DIV/0!</v>
      </c>
      <c r="V140" s="62" t="e">
        <f t="shared" si="158"/>
        <v>#DIV/0!</v>
      </c>
      <c r="W140" s="59" t="e">
        <f t="shared" si="161"/>
        <v>#DIV/0!</v>
      </c>
      <c r="X140" s="101" t="e">
        <f t="shared" si="162"/>
        <v>#DIV/0!</v>
      </c>
      <c r="Y140" s="104"/>
      <c r="AA140" s="62" t="e">
        <f t="shared" si="163"/>
        <v>#DIV/0!</v>
      </c>
      <c r="AN140" s="55"/>
      <c r="AP140" s="67" t="s">
        <v>252</v>
      </c>
      <c r="AQ140" s="59"/>
      <c r="AR140" s="63" t="str">
        <f t="shared" ref="AR140:BF140" si="186">IF(AR9="","",AR9*AR136)</f>
        <v/>
      </c>
      <c r="AS140" s="63" t="str">
        <f t="shared" si="186"/>
        <v/>
      </c>
      <c r="AT140" s="63" t="str">
        <f t="shared" si="186"/>
        <v/>
      </c>
      <c r="AU140" s="63" t="str">
        <f t="shared" si="186"/>
        <v/>
      </c>
      <c r="AV140" s="63" t="str">
        <f t="shared" si="186"/>
        <v/>
      </c>
      <c r="AW140" s="63" t="str">
        <f t="shared" si="186"/>
        <v/>
      </c>
      <c r="AX140" s="63" t="str">
        <f t="shared" si="186"/>
        <v/>
      </c>
      <c r="AY140" s="63" t="str">
        <f t="shared" si="186"/>
        <v/>
      </c>
      <c r="AZ140" s="63" t="str">
        <f t="shared" si="186"/>
        <v/>
      </c>
      <c r="BA140" s="63" t="str">
        <f t="shared" si="186"/>
        <v/>
      </c>
      <c r="BB140" s="63" t="str">
        <f t="shared" si="186"/>
        <v/>
      </c>
      <c r="BC140" s="63" t="str">
        <f t="shared" si="186"/>
        <v/>
      </c>
      <c r="BD140" s="63" t="str">
        <f t="shared" si="186"/>
        <v/>
      </c>
      <c r="BE140" s="63" t="str">
        <f t="shared" si="186"/>
        <v/>
      </c>
      <c r="BF140" s="63" t="str">
        <f t="shared" si="186"/>
        <v/>
      </c>
      <c r="BI140" s="67" t="s">
        <v>252</v>
      </c>
      <c r="BJ140" s="59"/>
      <c r="BK140" s="63" t="e">
        <f t="shared" ref="BK140:BY140" si="187">IF(AR9="",NA(),AR9*AR136)</f>
        <v>#N/A</v>
      </c>
      <c r="BL140" s="63" t="e">
        <f t="shared" si="187"/>
        <v>#N/A</v>
      </c>
      <c r="BM140" s="63" t="e">
        <f t="shared" si="187"/>
        <v>#N/A</v>
      </c>
      <c r="BN140" s="63" t="e">
        <f t="shared" si="187"/>
        <v>#N/A</v>
      </c>
      <c r="BO140" s="63" t="e">
        <f t="shared" si="187"/>
        <v>#N/A</v>
      </c>
      <c r="BP140" s="63" t="e">
        <f t="shared" si="187"/>
        <v>#N/A</v>
      </c>
      <c r="BQ140" s="63" t="e">
        <f t="shared" si="187"/>
        <v>#N/A</v>
      </c>
      <c r="BR140" s="63" t="e">
        <f t="shared" si="187"/>
        <v>#N/A</v>
      </c>
      <c r="BS140" s="63" t="e">
        <f t="shared" si="187"/>
        <v>#N/A</v>
      </c>
      <c r="BT140" s="63" t="e">
        <f t="shared" si="187"/>
        <v>#N/A</v>
      </c>
      <c r="BU140" s="63" t="e">
        <f t="shared" si="187"/>
        <v>#N/A</v>
      </c>
      <c r="BV140" s="63" t="e">
        <f t="shared" si="187"/>
        <v>#N/A</v>
      </c>
      <c r="BW140" s="63" t="e">
        <f t="shared" si="187"/>
        <v>#N/A</v>
      </c>
      <c r="BX140" s="63" t="e">
        <f t="shared" si="187"/>
        <v>#N/A</v>
      </c>
      <c r="BY140" s="63" t="e">
        <f t="shared" si="187"/>
        <v>#N/A</v>
      </c>
    </row>
    <row r="141" spans="1:77" x14ac:dyDescent="0.5">
      <c r="A141" s="49"/>
      <c r="B141" s="62">
        <v>0.23999999999999899</v>
      </c>
      <c r="C141" s="62" t="e">
        <f t="shared" si="167"/>
        <v>#DIV/0!</v>
      </c>
      <c r="D141" s="62" t="e">
        <f t="shared" si="168"/>
        <v>#DIV/0!</v>
      </c>
      <c r="E141" s="59">
        <f t="shared" si="171"/>
        <v>23.999999999999901</v>
      </c>
      <c r="F141" s="59" t="e">
        <f t="shared" si="172"/>
        <v>#DIV/0!</v>
      </c>
      <c r="G141" s="59" t="e">
        <f t="shared" si="173"/>
        <v>#DIV/0!</v>
      </c>
      <c r="H141" s="62" t="e">
        <f t="shared" si="169"/>
        <v>#DIV/0!</v>
      </c>
      <c r="I141" s="62" t="e">
        <f t="shared" si="170"/>
        <v>#DIV/0!</v>
      </c>
      <c r="J141" s="62" t="e">
        <f t="shared" si="174"/>
        <v>#DIV/0!</v>
      </c>
      <c r="K141" s="62" t="e">
        <f t="shared" si="175"/>
        <v>#DIV/0!</v>
      </c>
      <c r="L141" s="62" t="e">
        <f t="shared" si="176"/>
        <v>#DIV/0!</v>
      </c>
      <c r="M141" s="62" t="e">
        <f t="shared" si="177"/>
        <v>#DIV/0!</v>
      </c>
      <c r="N141" s="62" t="e">
        <f t="shared" si="178"/>
        <v>#DIV/0!</v>
      </c>
      <c r="O141" s="17" t="e">
        <f t="shared" si="179"/>
        <v>#DIV/0!</v>
      </c>
      <c r="Q141" s="62">
        <v>0.69</v>
      </c>
      <c r="R141" s="62" t="e">
        <f t="shared" si="154"/>
        <v>#DIV/0!</v>
      </c>
      <c r="S141" s="62" t="e">
        <f t="shared" si="155"/>
        <v>#DIV/0!</v>
      </c>
      <c r="T141" s="62" t="e">
        <f t="shared" si="156"/>
        <v>#DIV/0!</v>
      </c>
      <c r="U141" s="62" t="e">
        <f t="shared" si="157"/>
        <v>#DIV/0!</v>
      </c>
      <c r="V141" s="62" t="e">
        <f t="shared" si="158"/>
        <v>#DIV/0!</v>
      </c>
      <c r="W141" s="59" t="e">
        <f t="shared" si="161"/>
        <v>#DIV/0!</v>
      </c>
      <c r="X141" s="101" t="e">
        <f t="shared" si="162"/>
        <v>#DIV/0!</v>
      </c>
      <c r="Y141" s="104"/>
      <c r="AA141" s="62" t="e">
        <f t="shared" si="163"/>
        <v>#DIV/0!</v>
      </c>
      <c r="AN141" s="55"/>
      <c r="AP141" s="59" t="s">
        <v>253</v>
      </c>
      <c r="AQ141" s="59"/>
      <c r="AR141" s="63" t="str">
        <f t="shared" ref="AR141:BF141" si="188">IF(AR9="","",AR9*AR137)</f>
        <v/>
      </c>
      <c r="AS141" s="63" t="str">
        <f t="shared" si="188"/>
        <v/>
      </c>
      <c r="AT141" s="63" t="str">
        <f t="shared" si="188"/>
        <v/>
      </c>
      <c r="AU141" s="63" t="str">
        <f t="shared" si="188"/>
        <v/>
      </c>
      <c r="AV141" s="63" t="str">
        <f t="shared" si="188"/>
        <v/>
      </c>
      <c r="AW141" s="63" t="str">
        <f t="shared" si="188"/>
        <v/>
      </c>
      <c r="AX141" s="63" t="str">
        <f t="shared" si="188"/>
        <v/>
      </c>
      <c r="AY141" s="63" t="str">
        <f t="shared" si="188"/>
        <v/>
      </c>
      <c r="AZ141" s="63" t="str">
        <f t="shared" si="188"/>
        <v/>
      </c>
      <c r="BA141" s="63" t="str">
        <f t="shared" si="188"/>
        <v/>
      </c>
      <c r="BB141" s="63" t="str">
        <f t="shared" si="188"/>
        <v/>
      </c>
      <c r="BC141" s="63" t="str">
        <f t="shared" si="188"/>
        <v/>
      </c>
      <c r="BD141" s="63" t="str">
        <f t="shared" si="188"/>
        <v/>
      </c>
      <c r="BE141" s="63" t="str">
        <f t="shared" si="188"/>
        <v/>
      </c>
      <c r="BF141" s="63" t="str">
        <f t="shared" si="188"/>
        <v/>
      </c>
      <c r="BI141" s="59" t="s">
        <v>253</v>
      </c>
      <c r="BJ141" s="59"/>
      <c r="BK141" s="63" t="e">
        <f t="shared" ref="BK141:BY141" si="189">IF(AR9="",NA(),AR9*AR137)</f>
        <v>#N/A</v>
      </c>
      <c r="BL141" s="63" t="e">
        <f t="shared" si="189"/>
        <v>#N/A</v>
      </c>
      <c r="BM141" s="63" t="e">
        <f t="shared" si="189"/>
        <v>#N/A</v>
      </c>
      <c r="BN141" s="63" t="e">
        <f t="shared" si="189"/>
        <v>#N/A</v>
      </c>
      <c r="BO141" s="63" t="e">
        <f t="shared" si="189"/>
        <v>#N/A</v>
      </c>
      <c r="BP141" s="63" t="e">
        <f t="shared" si="189"/>
        <v>#N/A</v>
      </c>
      <c r="BQ141" s="63" t="e">
        <f t="shared" si="189"/>
        <v>#N/A</v>
      </c>
      <c r="BR141" s="63" t="e">
        <f t="shared" si="189"/>
        <v>#N/A</v>
      </c>
      <c r="BS141" s="63" t="e">
        <f t="shared" si="189"/>
        <v>#N/A</v>
      </c>
      <c r="BT141" s="63" t="e">
        <f t="shared" si="189"/>
        <v>#N/A</v>
      </c>
      <c r="BU141" s="63" t="e">
        <f t="shared" si="189"/>
        <v>#N/A</v>
      </c>
      <c r="BV141" s="63" t="e">
        <f t="shared" si="189"/>
        <v>#N/A</v>
      </c>
      <c r="BW141" s="63" t="e">
        <f t="shared" si="189"/>
        <v>#N/A</v>
      </c>
      <c r="BX141" s="63" t="e">
        <f t="shared" si="189"/>
        <v>#N/A</v>
      </c>
      <c r="BY141" s="63" t="e">
        <f t="shared" si="189"/>
        <v>#N/A</v>
      </c>
    </row>
    <row r="142" spans="1:77" x14ac:dyDescent="0.5">
      <c r="A142" s="49"/>
      <c r="B142" s="62">
        <v>0.22999999999999901</v>
      </c>
      <c r="C142" s="62" t="e">
        <f t="shared" si="167"/>
        <v>#DIV/0!</v>
      </c>
      <c r="D142" s="62" t="e">
        <f t="shared" si="168"/>
        <v>#DIV/0!</v>
      </c>
      <c r="E142" s="59">
        <f t="shared" si="171"/>
        <v>22.999999999999901</v>
      </c>
      <c r="F142" s="59" t="e">
        <f t="shared" si="172"/>
        <v>#DIV/0!</v>
      </c>
      <c r="G142" s="59" t="e">
        <f t="shared" si="173"/>
        <v>#DIV/0!</v>
      </c>
      <c r="H142" s="62" t="e">
        <f t="shared" si="169"/>
        <v>#DIV/0!</v>
      </c>
      <c r="I142" s="62" t="e">
        <f t="shared" si="170"/>
        <v>#DIV/0!</v>
      </c>
      <c r="J142" s="62" t="e">
        <f t="shared" si="174"/>
        <v>#DIV/0!</v>
      </c>
      <c r="K142" s="62" t="e">
        <f t="shared" si="175"/>
        <v>#DIV/0!</v>
      </c>
      <c r="L142" s="62" t="e">
        <f t="shared" si="176"/>
        <v>#DIV/0!</v>
      </c>
      <c r="M142" s="62" t="e">
        <f t="shared" si="177"/>
        <v>#DIV/0!</v>
      </c>
      <c r="N142" s="62" t="e">
        <f t="shared" si="178"/>
        <v>#DIV/0!</v>
      </c>
      <c r="O142" s="17" t="e">
        <f t="shared" si="179"/>
        <v>#DIV/0!</v>
      </c>
      <c r="Q142" s="62">
        <v>0.68</v>
      </c>
      <c r="R142" s="62" t="e">
        <f t="shared" ref="R142:R156" si="190">U142/$AT$124</f>
        <v>#DIV/0!</v>
      </c>
      <c r="S142" s="62" t="e">
        <f t="shared" ref="S142:S156" si="191">V142/$AT$125</f>
        <v>#DIV/0!</v>
      </c>
      <c r="T142" s="62" t="e">
        <f t="shared" ref="T142:T156" si="192">$AT$119*Q142</f>
        <v>#DIV/0!</v>
      </c>
      <c r="U142" s="62" t="e">
        <f t="shared" ref="U142:U156" si="193">(1/(1+EXP($AT$122-T142/$AT$119)^$AT$121))*((T142-$AT$119)/$AT$120)+(1/(1+EXP(T142/$AT$119-$AT$122)^$AT$121))*((($AT$116-T142)*$AT$118)/(T142+$AT$117))</f>
        <v>#DIV/0!</v>
      </c>
      <c r="V142" s="62" t="e">
        <f t="shared" ref="V142:V156" si="194">T142*U142</f>
        <v>#DIV/0!</v>
      </c>
      <c r="W142" s="59" t="e">
        <f t="shared" si="161"/>
        <v>#DIV/0!</v>
      </c>
      <c r="X142" s="101" t="e">
        <f t="shared" si="162"/>
        <v>#DIV/0!</v>
      </c>
      <c r="Y142" s="104"/>
      <c r="AA142" s="62" t="e">
        <f t="shared" si="163"/>
        <v>#DIV/0!</v>
      </c>
      <c r="AN142" s="55"/>
      <c r="AP142" s="59" t="s">
        <v>254</v>
      </c>
      <c r="AQ142" s="59"/>
      <c r="AR142" s="63" t="str">
        <f t="shared" ref="AR142:BF142" si="195">IF(AR9="","",AR9*AR138)</f>
        <v/>
      </c>
      <c r="AS142" s="63" t="str">
        <f t="shared" si="195"/>
        <v/>
      </c>
      <c r="AT142" s="63" t="str">
        <f t="shared" si="195"/>
        <v/>
      </c>
      <c r="AU142" s="63" t="str">
        <f t="shared" si="195"/>
        <v/>
      </c>
      <c r="AV142" s="63" t="str">
        <f t="shared" si="195"/>
        <v/>
      </c>
      <c r="AW142" s="63" t="str">
        <f t="shared" si="195"/>
        <v/>
      </c>
      <c r="AX142" s="63" t="str">
        <f t="shared" si="195"/>
        <v/>
      </c>
      <c r="AY142" s="63" t="str">
        <f t="shared" si="195"/>
        <v/>
      </c>
      <c r="AZ142" s="63" t="str">
        <f t="shared" si="195"/>
        <v/>
      </c>
      <c r="BA142" s="63" t="str">
        <f t="shared" si="195"/>
        <v/>
      </c>
      <c r="BB142" s="63" t="str">
        <f t="shared" si="195"/>
        <v/>
      </c>
      <c r="BC142" s="63" t="str">
        <f t="shared" si="195"/>
        <v/>
      </c>
      <c r="BD142" s="63" t="str">
        <f t="shared" si="195"/>
        <v/>
      </c>
      <c r="BE142" s="63" t="str">
        <f t="shared" si="195"/>
        <v/>
      </c>
      <c r="BF142" s="63" t="str">
        <f t="shared" si="195"/>
        <v/>
      </c>
      <c r="BI142" s="59" t="s">
        <v>254</v>
      </c>
      <c r="BJ142" s="59"/>
      <c r="BK142" s="63" t="e">
        <f t="shared" ref="BK142:BY142" si="196">IF(AR9="",NA(),AR9*AR138)</f>
        <v>#N/A</v>
      </c>
      <c r="BL142" s="63" t="e">
        <f t="shared" si="196"/>
        <v>#N/A</v>
      </c>
      <c r="BM142" s="63" t="e">
        <f t="shared" si="196"/>
        <v>#N/A</v>
      </c>
      <c r="BN142" s="63" t="e">
        <f t="shared" si="196"/>
        <v>#N/A</v>
      </c>
      <c r="BO142" s="63" t="e">
        <f t="shared" si="196"/>
        <v>#N/A</v>
      </c>
      <c r="BP142" s="63" t="e">
        <f t="shared" si="196"/>
        <v>#N/A</v>
      </c>
      <c r="BQ142" s="63" t="e">
        <f t="shared" si="196"/>
        <v>#N/A</v>
      </c>
      <c r="BR142" s="63" t="e">
        <f t="shared" si="196"/>
        <v>#N/A</v>
      </c>
      <c r="BS142" s="63" t="e">
        <f t="shared" si="196"/>
        <v>#N/A</v>
      </c>
      <c r="BT142" s="63" t="e">
        <f t="shared" si="196"/>
        <v>#N/A</v>
      </c>
      <c r="BU142" s="63" t="e">
        <f t="shared" si="196"/>
        <v>#N/A</v>
      </c>
      <c r="BV142" s="63" t="e">
        <f t="shared" si="196"/>
        <v>#N/A</v>
      </c>
      <c r="BW142" s="63" t="e">
        <f t="shared" si="196"/>
        <v>#N/A</v>
      </c>
      <c r="BX142" s="63" t="e">
        <f t="shared" si="196"/>
        <v>#N/A</v>
      </c>
      <c r="BY142" s="63" t="e">
        <f t="shared" si="196"/>
        <v>#N/A</v>
      </c>
    </row>
    <row r="143" spans="1:77" x14ac:dyDescent="0.5">
      <c r="A143" s="49"/>
      <c r="B143" s="62">
        <v>0.219999999999999</v>
      </c>
      <c r="C143" s="62" t="e">
        <f t="shared" si="167"/>
        <v>#DIV/0!</v>
      </c>
      <c r="D143" s="62" t="e">
        <f t="shared" si="168"/>
        <v>#DIV/0!</v>
      </c>
      <c r="E143" s="59">
        <f t="shared" si="171"/>
        <v>21.999999999999901</v>
      </c>
      <c r="F143" s="59" t="e">
        <f t="shared" si="172"/>
        <v>#DIV/0!</v>
      </c>
      <c r="G143" s="59" t="e">
        <f t="shared" si="173"/>
        <v>#DIV/0!</v>
      </c>
      <c r="H143" s="62" t="e">
        <f t="shared" si="169"/>
        <v>#DIV/0!</v>
      </c>
      <c r="I143" s="62" t="e">
        <f t="shared" si="170"/>
        <v>#DIV/0!</v>
      </c>
      <c r="J143" s="62" t="e">
        <f t="shared" si="174"/>
        <v>#DIV/0!</v>
      </c>
      <c r="K143" s="62" t="e">
        <f t="shared" si="175"/>
        <v>#DIV/0!</v>
      </c>
      <c r="L143" s="62" t="e">
        <f t="shared" si="176"/>
        <v>#DIV/0!</v>
      </c>
      <c r="M143" s="62" t="e">
        <f t="shared" si="177"/>
        <v>#DIV/0!</v>
      </c>
      <c r="N143" s="62" t="e">
        <f t="shared" si="178"/>
        <v>#DIV/0!</v>
      </c>
      <c r="O143" s="17" t="e">
        <f t="shared" si="179"/>
        <v>#DIV/0!</v>
      </c>
      <c r="Q143" s="62">
        <v>0.67</v>
      </c>
      <c r="R143" s="62" t="e">
        <f t="shared" si="190"/>
        <v>#DIV/0!</v>
      </c>
      <c r="S143" s="62" t="e">
        <f t="shared" si="191"/>
        <v>#DIV/0!</v>
      </c>
      <c r="T143" s="62" t="e">
        <f t="shared" si="192"/>
        <v>#DIV/0!</v>
      </c>
      <c r="U143" s="62" t="e">
        <f t="shared" si="193"/>
        <v>#DIV/0!</v>
      </c>
      <c r="V143" s="62" t="e">
        <f t="shared" si="194"/>
        <v>#DIV/0!</v>
      </c>
      <c r="W143" s="59" t="e">
        <f t="shared" si="161"/>
        <v>#DIV/0!</v>
      </c>
      <c r="X143" s="101" t="e">
        <f t="shared" ref="X143:X156" si="197">ROUND(((W142-W143)/$W$110),4)</f>
        <v>#DIV/0!</v>
      </c>
      <c r="Y143" s="104"/>
      <c r="AA143" s="62" t="e">
        <f t="shared" si="163"/>
        <v>#DIV/0!</v>
      </c>
      <c r="AN143" s="55"/>
    </row>
    <row r="144" spans="1:77" x14ac:dyDescent="0.5">
      <c r="A144" s="49"/>
      <c r="B144" s="62">
        <v>0.20999999999999899</v>
      </c>
      <c r="C144" s="62" t="e">
        <f t="shared" si="167"/>
        <v>#DIV/0!</v>
      </c>
      <c r="D144" s="62" t="e">
        <f t="shared" si="168"/>
        <v>#DIV/0!</v>
      </c>
      <c r="E144" s="59">
        <f t="shared" si="171"/>
        <v>20.999999999999901</v>
      </c>
      <c r="F144" s="59" t="e">
        <f t="shared" si="172"/>
        <v>#DIV/0!</v>
      </c>
      <c r="G144" s="59" t="e">
        <f t="shared" si="173"/>
        <v>#DIV/0!</v>
      </c>
      <c r="H144" s="62" t="e">
        <f t="shared" si="169"/>
        <v>#DIV/0!</v>
      </c>
      <c r="I144" s="62" t="e">
        <f t="shared" si="170"/>
        <v>#DIV/0!</v>
      </c>
      <c r="J144" s="62" t="e">
        <f t="shared" si="174"/>
        <v>#DIV/0!</v>
      </c>
      <c r="K144" s="62" t="e">
        <f t="shared" si="175"/>
        <v>#DIV/0!</v>
      </c>
      <c r="L144" s="62" t="e">
        <f t="shared" si="176"/>
        <v>#DIV/0!</v>
      </c>
      <c r="M144" s="62" t="e">
        <f t="shared" si="177"/>
        <v>#DIV/0!</v>
      </c>
      <c r="N144" s="62" t="e">
        <f t="shared" si="178"/>
        <v>#DIV/0!</v>
      </c>
      <c r="O144" s="17" t="e">
        <f t="shared" si="179"/>
        <v>#DIV/0!</v>
      </c>
      <c r="Q144" s="62">
        <v>0.66</v>
      </c>
      <c r="R144" s="62" t="e">
        <f t="shared" si="190"/>
        <v>#DIV/0!</v>
      </c>
      <c r="S144" s="62" t="e">
        <f t="shared" si="191"/>
        <v>#DIV/0!</v>
      </c>
      <c r="T144" s="62" t="e">
        <f t="shared" si="192"/>
        <v>#DIV/0!</v>
      </c>
      <c r="U144" s="62" t="e">
        <f t="shared" si="193"/>
        <v>#DIV/0!</v>
      </c>
      <c r="V144" s="62" t="e">
        <f t="shared" si="194"/>
        <v>#DIV/0!</v>
      </c>
      <c r="W144" s="59" t="e">
        <f t="shared" si="161"/>
        <v>#DIV/0!</v>
      </c>
      <c r="X144" s="101" t="e">
        <f t="shared" si="197"/>
        <v>#DIV/0!</v>
      </c>
      <c r="Y144" s="104"/>
      <c r="AA144" s="62" t="e">
        <f t="shared" si="163"/>
        <v>#DIV/0!</v>
      </c>
      <c r="AN144" s="55"/>
      <c r="AP144" s="53" t="s">
        <v>41</v>
      </c>
      <c r="BI144" s="53" t="s">
        <v>41</v>
      </c>
    </row>
    <row r="145" spans="1:77" x14ac:dyDescent="0.5">
      <c r="A145" s="49"/>
      <c r="B145" s="62">
        <v>0.19999999999999901</v>
      </c>
      <c r="C145" s="62" t="e">
        <f t="shared" si="167"/>
        <v>#DIV/0!</v>
      </c>
      <c r="D145" s="62" t="e">
        <f t="shared" si="168"/>
        <v>#DIV/0!</v>
      </c>
      <c r="E145" s="59">
        <f t="shared" si="171"/>
        <v>19.999999999999901</v>
      </c>
      <c r="F145" s="59" t="e">
        <f t="shared" si="172"/>
        <v>#DIV/0!</v>
      </c>
      <c r="G145" s="59" t="e">
        <f t="shared" si="173"/>
        <v>#DIV/0!</v>
      </c>
      <c r="H145" s="62" t="e">
        <f t="shared" si="169"/>
        <v>#DIV/0!</v>
      </c>
      <c r="I145" s="62" t="e">
        <f t="shared" si="170"/>
        <v>#DIV/0!</v>
      </c>
      <c r="J145" s="62" t="e">
        <f t="shared" si="174"/>
        <v>#DIV/0!</v>
      </c>
      <c r="K145" s="62" t="e">
        <f t="shared" si="175"/>
        <v>#DIV/0!</v>
      </c>
      <c r="L145" s="62" t="e">
        <f t="shared" si="176"/>
        <v>#DIV/0!</v>
      </c>
      <c r="M145" s="62" t="e">
        <f t="shared" si="177"/>
        <v>#DIV/0!</v>
      </c>
      <c r="N145" s="62" t="e">
        <f t="shared" si="178"/>
        <v>#DIV/0!</v>
      </c>
      <c r="O145" s="17" t="e">
        <f t="shared" si="179"/>
        <v>#DIV/0!</v>
      </c>
      <c r="Q145" s="62">
        <v>0.65</v>
      </c>
      <c r="R145" s="62" t="e">
        <f t="shared" si="190"/>
        <v>#DIV/0!</v>
      </c>
      <c r="S145" s="62" t="e">
        <f t="shared" si="191"/>
        <v>#DIV/0!</v>
      </c>
      <c r="T145" s="62" t="e">
        <f t="shared" si="192"/>
        <v>#DIV/0!</v>
      </c>
      <c r="U145" s="62" t="e">
        <f t="shared" si="193"/>
        <v>#DIV/0!</v>
      </c>
      <c r="V145" s="62" t="e">
        <f t="shared" si="194"/>
        <v>#DIV/0!</v>
      </c>
      <c r="W145" s="59" t="e">
        <f t="shared" si="161"/>
        <v>#DIV/0!</v>
      </c>
      <c r="X145" s="101" t="e">
        <f t="shared" si="197"/>
        <v>#DIV/0!</v>
      </c>
      <c r="Y145" s="104"/>
      <c r="AA145" s="62" t="e">
        <f t="shared" si="163"/>
        <v>#DIV/0!</v>
      </c>
      <c r="AN145" s="55"/>
      <c r="AP145" s="65" t="s">
        <v>250</v>
      </c>
      <c r="AQ145" s="59"/>
      <c r="AR145" s="63" t="str">
        <f t="shared" ref="AR145:BF145" si="198">IF(AR$16=0,AR9,"")</f>
        <v/>
      </c>
      <c r="AS145" s="63" t="str">
        <f t="shared" si="198"/>
        <v/>
      </c>
      <c r="AT145" s="63" t="str">
        <f t="shared" si="198"/>
        <v/>
      </c>
      <c r="AU145" s="63" t="str">
        <f t="shared" si="198"/>
        <v/>
      </c>
      <c r="AV145" s="63" t="str">
        <f t="shared" si="198"/>
        <v/>
      </c>
      <c r="AW145" s="63" t="str">
        <f t="shared" si="198"/>
        <v/>
      </c>
      <c r="AX145" s="63" t="str">
        <f t="shared" si="198"/>
        <v/>
      </c>
      <c r="AY145" s="63" t="str">
        <f t="shared" si="198"/>
        <v/>
      </c>
      <c r="AZ145" s="63" t="str">
        <f t="shared" si="198"/>
        <v/>
      </c>
      <c r="BA145" s="63" t="str">
        <f t="shared" si="198"/>
        <v/>
      </c>
      <c r="BB145" s="63" t="str">
        <f t="shared" si="198"/>
        <v/>
      </c>
      <c r="BC145" s="63" t="str">
        <f t="shared" si="198"/>
        <v/>
      </c>
      <c r="BD145" s="63" t="str">
        <f t="shared" si="198"/>
        <v/>
      </c>
      <c r="BE145" s="63" t="str">
        <f t="shared" si="198"/>
        <v/>
      </c>
      <c r="BF145" s="63" t="str">
        <f t="shared" si="198"/>
        <v/>
      </c>
      <c r="BI145" s="65" t="s">
        <v>250</v>
      </c>
      <c r="BJ145" s="59"/>
      <c r="BK145" s="63" t="e">
        <f t="shared" ref="BK145:BY147" si="199">IF(AR$16=0,AR9,NA())</f>
        <v>#N/A</v>
      </c>
      <c r="BL145" s="63" t="e">
        <f t="shared" si="199"/>
        <v>#N/A</v>
      </c>
      <c r="BM145" s="63" t="e">
        <f t="shared" si="199"/>
        <v>#N/A</v>
      </c>
      <c r="BN145" s="63" t="e">
        <f t="shared" si="199"/>
        <v>#N/A</v>
      </c>
      <c r="BO145" s="63" t="e">
        <f t="shared" si="199"/>
        <v>#N/A</v>
      </c>
      <c r="BP145" s="63" t="e">
        <f t="shared" si="199"/>
        <v>#N/A</v>
      </c>
      <c r="BQ145" s="63" t="e">
        <f t="shared" si="199"/>
        <v>#N/A</v>
      </c>
      <c r="BR145" s="63" t="e">
        <f t="shared" si="199"/>
        <v>#N/A</v>
      </c>
      <c r="BS145" s="63" t="e">
        <f t="shared" si="199"/>
        <v>#N/A</v>
      </c>
      <c r="BT145" s="63" t="e">
        <f t="shared" si="199"/>
        <v>#N/A</v>
      </c>
      <c r="BU145" s="63" t="e">
        <f t="shared" si="199"/>
        <v>#N/A</v>
      </c>
      <c r="BV145" s="63" t="e">
        <f t="shared" si="199"/>
        <v>#N/A</v>
      </c>
      <c r="BW145" s="63" t="e">
        <f t="shared" si="199"/>
        <v>#N/A</v>
      </c>
      <c r="BX145" s="63" t="e">
        <f t="shared" si="199"/>
        <v>#N/A</v>
      </c>
      <c r="BY145" s="63" t="e">
        <f t="shared" si="199"/>
        <v>#N/A</v>
      </c>
    </row>
    <row r="146" spans="1:77" x14ac:dyDescent="0.5">
      <c r="A146" s="49"/>
      <c r="B146" s="62">
        <v>0.189999999999999</v>
      </c>
      <c r="C146" s="62" t="e">
        <f t="shared" si="167"/>
        <v>#DIV/0!</v>
      </c>
      <c r="D146" s="62" t="e">
        <f t="shared" si="168"/>
        <v>#DIV/0!</v>
      </c>
      <c r="E146" s="59">
        <f t="shared" si="171"/>
        <v>18.999999999999901</v>
      </c>
      <c r="F146" s="59" t="e">
        <f t="shared" si="172"/>
        <v>#DIV/0!</v>
      </c>
      <c r="G146" s="59" t="e">
        <f t="shared" si="173"/>
        <v>#DIV/0!</v>
      </c>
      <c r="H146" s="62" t="e">
        <f t="shared" si="169"/>
        <v>#DIV/0!</v>
      </c>
      <c r="I146" s="62" t="e">
        <f t="shared" si="170"/>
        <v>#DIV/0!</v>
      </c>
      <c r="J146" s="62" t="e">
        <f t="shared" si="174"/>
        <v>#DIV/0!</v>
      </c>
      <c r="K146" s="62" t="e">
        <f t="shared" si="175"/>
        <v>#DIV/0!</v>
      </c>
      <c r="L146" s="62" t="e">
        <f t="shared" si="176"/>
        <v>#DIV/0!</v>
      </c>
      <c r="M146" s="62" t="e">
        <f t="shared" si="177"/>
        <v>#DIV/0!</v>
      </c>
      <c r="N146" s="62" t="e">
        <f t="shared" si="178"/>
        <v>#DIV/0!</v>
      </c>
      <c r="O146" s="17" t="e">
        <f t="shared" si="179"/>
        <v>#DIV/0!</v>
      </c>
      <c r="Q146" s="62">
        <v>0.64</v>
      </c>
      <c r="R146" s="62" t="e">
        <f t="shared" si="190"/>
        <v>#DIV/0!</v>
      </c>
      <c r="S146" s="62" t="e">
        <f t="shared" si="191"/>
        <v>#DIV/0!</v>
      </c>
      <c r="T146" s="62" t="e">
        <f t="shared" si="192"/>
        <v>#DIV/0!</v>
      </c>
      <c r="U146" s="62" t="e">
        <f t="shared" si="193"/>
        <v>#DIV/0!</v>
      </c>
      <c r="V146" s="62" t="e">
        <f t="shared" si="194"/>
        <v>#DIV/0!</v>
      </c>
      <c r="W146" s="59" t="e">
        <f t="shared" si="161"/>
        <v>#DIV/0!</v>
      </c>
      <c r="X146" s="101" t="e">
        <f t="shared" si="197"/>
        <v>#DIV/0!</v>
      </c>
      <c r="Y146" s="104"/>
      <c r="AA146" s="62" t="e">
        <f t="shared" si="163"/>
        <v>#DIV/0!</v>
      </c>
      <c r="AN146" s="55"/>
      <c r="AP146" s="67" t="s">
        <v>15</v>
      </c>
      <c r="AQ146" s="59"/>
      <c r="AR146" s="63" t="str">
        <f t="shared" ref="AR146:BF146" si="200">IF(AR$16=0,AR10,"")</f>
        <v/>
      </c>
      <c r="AS146" s="63" t="str">
        <f t="shared" si="200"/>
        <v/>
      </c>
      <c r="AT146" s="63" t="str">
        <f t="shared" si="200"/>
        <v/>
      </c>
      <c r="AU146" s="63" t="str">
        <f t="shared" si="200"/>
        <v/>
      </c>
      <c r="AV146" s="63" t="str">
        <f t="shared" si="200"/>
        <v/>
      </c>
      <c r="AW146" s="63" t="str">
        <f t="shared" si="200"/>
        <v/>
      </c>
      <c r="AX146" s="63" t="str">
        <f t="shared" si="200"/>
        <v/>
      </c>
      <c r="AY146" s="63" t="str">
        <f t="shared" si="200"/>
        <v/>
      </c>
      <c r="AZ146" s="63" t="str">
        <f t="shared" si="200"/>
        <v/>
      </c>
      <c r="BA146" s="63" t="str">
        <f t="shared" si="200"/>
        <v/>
      </c>
      <c r="BB146" s="63" t="str">
        <f t="shared" si="200"/>
        <v/>
      </c>
      <c r="BC146" s="63" t="str">
        <f t="shared" si="200"/>
        <v/>
      </c>
      <c r="BD146" s="63" t="str">
        <f t="shared" si="200"/>
        <v/>
      </c>
      <c r="BE146" s="63" t="str">
        <f t="shared" si="200"/>
        <v/>
      </c>
      <c r="BF146" s="63" t="str">
        <f t="shared" si="200"/>
        <v/>
      </c>
      <c r="BI146" s="67" t="s">
        <v>15</v>
      </c>
      <c r="BJ146" s="59"/>
      <c r="BK146" s="63" t="e">
        <f t="shared" si="199"/>
        <v>#N/A</v>
      </c>
      <c r="BL146" s="63" t="e">
        <f t="shared" si="199"/>
        <v>#N/A</v>
      </c>
      <c r="BM146" s="63" t="e">
        <f t="shared" si="199"/>
        <v>#N/A</v>
      </c>
      <c r="BN146" s="63" t="e">
        <f t="shared" si="199"/>
        <v>#N/A</v>
      </c>
      <c r="BO146" s="63" t="e">
        <f t="shared" si="199"/>
        <v>#N/A</v>
      </c>
      <c r="BP146" s="63" t="e">
        <f t="shared" si="199"/>
        <v>#N/A</v>
      </c>
      <c r="BQ146" s="63" t="e">
        <f t="shared" si="199"/>
        <v>#N/A</v>
      </c>
      <c r="BR146" s="63" t="e">
        <f t="shared" si="199"/>
        <v>#N/A</v>
      </c>
      <c r="BS146" s="63" t="e">
        <f t="shared" si="199"/>
        <v>#N/A</v>
      </c>
      <c r="BT146" s="63" t="e">
        <f t="shared" si="199"/>
        <v>#N/A</v>
      </c>
      <c r="BU146" s="63" t="e">
        <f t="shared" si="199"/>
        <v>#N/A</v>
      </c>
      <c r="BV146" s="63" t="e">
        <f t="shared" si="199"/>
        <v>#N/A</v>
      </c>
      <c r="BW146" s="63" t="e">
        <f t="shared" si="199"/>
        <v>#N/A</v>
      </c>
      <c r="BX146" s="63" t="e">
        <f t="shared" si="199"/>
        <v>#N/A</v>
      </c>
      <c r="BY146" s="63" t="e">
        <f t="shared" si="199"/>
        <v>#N/A</v>
      </c>
    </row>
    <row r="147" spans="1:77" x14ac:dyDescent="0.5">
      <c r="A147" s="49"/>
      <c r="B147" s="62">
        <v>0.17999999999999899</v>
      </c>
      <c r="C147" s="62" t="e">
        <f t="shared" si="167"/>
        <v>#DIV/0!</v>
      </c>
      <c r="D147" s="62" t="e">
        <f t="shared" si="168"/>
        <v>#DIV/0!</v>
      </c>
      <c r="E147" s="59">
        <f t="shared" si="171"/>
        <v>17.999999999999901</v>
      </c>
      <c r="F147" s="59" t="e">
        <f t="shared" si="172"/>
        <v>#DIV/0!</v>
      </c>
      <c r="G147" s="59" t="e">
        <f t="shared" si="173"/>
        <v>#DIV/0!</v>
      </c>
      <c r="H147" s="62" t="e">
        <f t="shared" si="169"/>
        <v>#DIV/0!</v>
      </c>
      <c r="I147" s="62" t="e">
        <f t="shared" si="170"/>
        <v>#DIV/0!</v>
      </c>
      <c r="J147" s="62" t="e">
        <f t="shared" si="174"/>
        <v>#DIV/0!</v>
      </c>
      <c r="K147" s="62" t="e">
        <f t="shared" si="175"/>
        <v>#DIV/0!</v>
      </c>
      <c r="L147" s="62" t="e">
        <f t="shared" si="176"/>
        <v>#DIV/0!</v>
      </c>
      <c r="M147" s="62" t="e">
        <f t="shared" si="177"/>
        <v>#DIV/0!</v>
      </c>
      <c r="N147" s="62" t="e">
        <f t="shared" si="178"/>
        <v>#DIV/0!</v>
      </c>
      <c r="O147" s="17" t="e">
        <f t="shared" si="179"/>
        <v>#DIV/0!</v>
      </c>
      <c r="Q147" s="62">
        <v>0.63</v>
      </c>
      <c r="R147" s="62" t="e">
        <f t="shared" si="190"/>
        <v>#DIV/0!</v>
      </c>
      <c r="S147" s="62" t="e">
        <f t="shared" si="191"/>
        <v>#DIV/0!</v>
      </c>
      <c r="T147" s="62" t="e">
        <f t="shared" si="192"/>
        <v>#DIV/0!</v>
      </c>
      <c r="U147" s="62" t="e">
        <f t="shared" si="193"/>
        <v>#DIV/0!</v>
      </c>
      <c r="V147" s="62" t="e">
        <f t="shared" si="194"/>
        <v>#DIV/0!</v>
      </c>
      <c r="W147" s="59" t="e">
        <f t="shared" si="161"/>
        <v>#DIV/0!</v>
      </c>
      <c r="X147" s="101" t="e">
        <f t="shared" si="197"/>
        <v>#DIV/0!</v>
      </c>
      <c r="Y147" s="104"/>
      <c r="AA147" s="62" t="e">
        <f t="shared" si="163"/>
        <v>#DIV/0!</v>
      </c>
      <c r="AN147" s="55"/>
      <c r="AP147" s="67" t="s">
        <v>261</v>
      </c>
      <c r="AQ147" s="59"/>
      <c r="AR147" s="63" t="str">
        <f t="shared" ref="AR147:BF147" si="201">IF(AR$16=0,AR11,"")</f>
        <v/>
      </c>
      <c r="AS147" s="63" t="str">
        <f t="shared" si="201"/>
        <v/>
      </c>
      <c r="AT147" s="63" t="str">
        <f t="shared" si="201"/>
        <v/>
      </c>
      <c r="AU147" s="63" t="str">
        <f t="shared" si="201"/>
        <v/>
      </c>
      <c r="AV147" s="63" t="str">
        <f t="shared" si="201"/>
        <v/>
      </c>
      <c r="AW147" s="63" t="str">
        <f t="shared" si="201"/>
        <v/>
      </c>
      <c r="AX147" s="63" t="str">
        <f t="shared" si="201"/>
        <v/>
      </c>
      <c r="AY147" s="63" t="str">
        <f t="shared" si="201"/>
        <v/>
      </c>
      <c r="AZ147" s="63" t="str">
        <f t="shared" si="201"/>
        <v/>
      </c>
      <c r="BA147" s="63" t="str">
        <f t="shared" si="201"/>
        <v/>
      </c>
      <c r="BB147" s="63" t="str">
        <f t="shared" si="201"/>
        <v/>
      </c>
      <c r="BC147" s="63" t="str">
        <f t="shared" si="201"/>
        <v/>
      </c>
      <c r="BD147" s="63" t="str">
        <f t="shared" si="201"/>
        <v/>
      </c>
      <c r="BE147" s="63" t="str">
        <f t="shared" si="201"/>
        <v/>
      </c>
      <c r="BF147" s="63" t="str">
        <f t="shared" si="201"/>
        <v/>
      </c>
      <c r="BI147" s="67" t="s">
        <v>251</v>
      </c>
      <c r="BJ147" s="59"/>
      <c r="BK147" s="63" t="e">
        <f t="shared" si="199"/>
        <v>#N/A</v>
      </c>
      <c r="BL147" s="63" t="e">
        <f t="shared" si="199"/>
        <v>#N/A</v>
      </c>
      <c r="BM147" s="63" t="e">
        <f t="shared" si="199"/>
        <v>#N/A</v>
      </c>
      <c r="BN147" s="63" t="e">
        <f t="shared" si="199"/>
        <v>#N/A</v>
      </c>
      <c r="BO147" s="63" t="e">
        <f t="shared" si="199"/>
        <v>#N/A</v>
      </c>
      <c r="BP147" s="63" t="e">
        <f t="shared" si="199"/>
        <v>#N/A</v>
      </c>
      <c r="BQ147" s="63" t="e">
        <f t="shared" si="199"/>
        <v>#N/A</v>
      </c>
      <c r="BR147" s="63" t="e">
        <f t="shared" si="199"/>
        <v>#N/A</v>
      </c>
      <c r="BS147" s="63" t="e">
        <f t="shared" si="199"/>
        <v>#N/A</v>
      </c>
      <c r="BT147" s="63" t="e">
        <f t="shared" si="199"/>
        <v>#N/A</v>
      </c>
      <c r="BU147" s="63" t="e">
        <f t="shared" si="199"/>
        <v>#N/A</v>
      </c>
      <c r="BV147" s="63" t="e">
        <f t="shared" si="199"/>
        <v>#N/A</v>
      </c>
      <c r="BW147" s="63" t="e">
        <f t="shared" si="199"/>
        <v>#N/A</v>
      </c>
      <c r="BX147" s="63" t="e">
        <f t="shared" si="199"/>
        <v>#N/A</v>
      </c>
      <c r="BY147" s="63" t="e">
        <f t="shared" si="199"/>
        <v>#N/A</v>
      </c>
    </row>
    <row r="148" spans="1:77" x14ac:dyDescent="0.5">
      <c r="A148" s="49"/>
      <c r="B148" s="62">
        <v>0.16999999999999901</v>
      </c>
      <c r="C148" s="62" t="e">
        <f t="shared" si="167"/>
        <v>#DIV/0!</v>
      </c>
      <c r="D148" s="62" t="e">
        <f t="shared" si="168"/>
        <v>#DIV/0!</v>
      </c>
      <c r="E148" s="59">
        <f t="shared" si="171"/>
        <v>16.999999999999901</v>
      </c>
      <c r="F148" s="59" t="e">
        <f t="shared" si="172"/>
        <v>#DIV/0!</v>
      </c>
      <c r="G148" s="59" t="e">
        <f t="shared" si="173"/>
        <v>#DIV/0!</v>
      </c>
      <c r="H148" s="62" t="e">
        <f t="shared" si="169"/>
        <v>#DIV/0!</v>
      </c>
      <c r="I148" s="62" t="e">
        <f t="shared" si="170"/>
        <v>#DIV/0!</v>
      </c>
      <c r="J148" s="62" t="e">
        <f t="shared" si="174"/>
        <v>#DIV/0!</v>
      </c>
      <c r="K148" s="62" t="e">
        <f t="shared" si="175"/>
        <v>#DIV/0!</v>
      </c>
      <c r="L148" s="62" t="e">
        <f t="shared" si="176"/>
        <v>#DIV/0!</v>
      </c>
      <c r="M148" s="62" t="e">
        <f t="shared" si="177"/>
        <v>#DIV/0!</v>
      </c>
      <c r="N148" s="62" t="e">
        <f t="shared" si="178"/>
        <v>#DIV/0!</v>
      </c>
      <c r="O148" s="17" t="e">
        <f t="shared" si="179"/>
        <v>#DIV/0!</v>
      </c>
      <c r="Q148" s="62">
        <v>0.62</v>
      </c>
      <c r="R148" s="62" t="e">
        <f t="shared" si="190"/>
        <v>#DIV/0!</v>
      </c>
      <c r="S148" s="62" t="e">
        <f t="shared" si="191"/>
        <v>#DIV/0!</v>
      </c>
      <c r="T148" s="62" t="e">
        <f t="shared" si="192"/>
        <v>#DIV/0!</v>
      </c>
      <c r="U148" s="62" t="e">
        <f t="shared" si="193"/>
        <v>#DIV/0!</v>
      </c>
      <c r="V148" s="62" t="e">
        <f t="shared" si="194"/>
        <v>#DIV/0!</v>
      </c>
      <c r="W148" s="59" t="e">
        <f t="shared" ref="W148:W151" si="202">ROUND(SLOPE(T143:T153,U143:U153),0)</f>
        <v>#DIV/0!</v>
      </c>
      <c r="X148" s="101" t="e">
        <f t="shared" si="197"/>
        <v>#DIV/0!</v>
      </c>
      <c r="Y148" s="104"/>
      <c r="AA148" s="62" t="e">
        <f t="shared" si="163"/>
        <v>#DIV/0!</v>
      </c>
      <c r="AN148" s="55"/>
    </row>
    <row r="149" spans="1:77" x14ac:dyDescent="0.5">
      <c r="A149" s="49"/>
      <c r="B149" s="62">
        <v>0.159999999999999</v>
      </c>
      <c r="C149" s="62" t="e">
        <f t="shared" si="167"/>
        <v>#DIV/0!</v>
      </c>
      <c r="D149" s="62" t="e">
        <f t="shared" si="168"/>
        <v>#DIV/0!</v>
      </c>
      <c r="E149" s="59">
        <f t="shared" si="171"/>
        <v>15.999999999999901</v>
      </c>
      <c r="F149" s="59" t="e">
        <f t="shared" si="172"/>
        <v>#DIV/0!</v>
      </c>
      <c r="G149" s="59" t="e">
        <f t="shared" si="173"/>
        <v>#DIV/0!</v>
      </c>
      <c r="H149" s="62" t="e">
        <f t="shared" si="169"/>
        <v>#DIV/0!</v>
      </c>
      <c r="I149" s="62" t="e">
        <f t="shared" si="170"/>
        <v>#DIV/0!</v>
      </c>
      <c r="J149" s="62" t="e">
        <f t="shared" si="174"/>
        <v>#DIV/0!</v>
      </c>
      <c r="K149" s="62" t="e">
        <f t="shared" si="175"/>
        <v>#DIV/0!</v>
      </c>
      <c r="L149" s="62" t="e">
        <f t="shared" si="176"/>
        <v>#DIV/0!</v>
      </c>
      <c r="M149" s="62" t="e">
        <f t="shared" si="177"/>
        <v>#DIV/0!</v>
      </c>
      <c r="N149" s="62" t="e">
        <f t="shared" si="178"/>
        <v>#DIV/0!</v>
      </c>
      <c r="O149" s="17" t="e">
        <f t="shared" si="179"/>
        <v>#DIV/0!</v>
      </c>
      <c r="Q149" s="62">
        <v>0.61</v>
      </c>
      <c r="R149" s="62" t="e">
        <f t="shared" si="190"/>
        <v>#DIV/0!</v>
      </c>
      <c r="S149" s="62" t="e">
        <f t="shared" si="191"/>
        <v>#DIV/0!</v>
      </c>
      <c r="T149" s="62" t="e">
        <f t="shared" si="192"/>
        <v>#DIV/0!</v>
      </c>
      <c r="U149" s="62" t="e">
        <f t="shared" si="193"/>
        <v>#DIV/0!</v>
      </c>
      <c r="V149" s="62" t="e">
        <f t="shared" si="194"/>
        <v>#DIV/0!</v>
      </c>
      <c r="W149" s="59" t="e">
        <f t="shared" si="202"/>
        <v>#DIV/0!</v>
      </c>
      <c r="X149" s="101" t="e">
        <f t="shared" si="197"/>
        <v>#DIV/0!</v>
      </c>
      <c r="Y149" s="104"/>
      <c r="AA149" s="62" t="e">
        <f t="shared" si="163"/>
        <v>#DIV/0!</v>
      </c>
      <c r="AN149" s="55"/>
      <c r="AP149" s="53" t="s">
        <v>66</v>
      </c>
      <c r="BI149" s="53" t="s">
        <v>66</v>
      </c>
    </row>
    <row r="150" spans="1:77" x14ac:dyDescent="0.5">
      <c r="A150" s="49"/>
      <c r="B150" s="62">
        <v>0.149999999999999</v>
      </c>
      <c r="C150" s="62" t="e">
        <f t="shared" si="167"/>
        <v>#DIV/0!</v>
      </c>
      <c r="D150" s="62" t="e">
        <f t="shared" si="168"/>
        <v>#DIV/0!</v>
      </c>
      <c r="E150" s="59">
        <f t="shared" si="171"/>
        <v>14.999999999999899</v>
      </c>
      <c r="F150" s="59" t="e">
        <f t="shared" si="172"/>
        <v>#DIV/0!</v>
      </c>
      <c r="G150" s="59" t="e">
        <f t="shared" si="173"/>
        <v>#DIV/0!</v>
      </c>
      <c r="H150" s="62" t="e">
        <f t="shared" si="169"/>
        <v>#DIV/0!</v>
      </c>
      <c r="I150" s="62" t="e">
        <f t="shared" si="170"/>
        <v>#DIV/0!</v>
      </c>
      <c r="J150" s="62" t="e">
        <f t="shared" si="174"/>
        <v>#DIV/0!</v>
      </c>
      <c r="K150" s="62" t="e">
        <f t="shared" si="175"/>
        <v>#DIV/0!</v>
      </c>
      <c r="L150" s="62" t="e">
        <f t="shared" si="176"/>
        <v>#DIV/0!</v>
      </c>
      <c r="M150" s="62" t="e">
        <f t="shared" si="177"/>
        <v>#DIV/0!</v>
      </c>
      <c r="N150" s="62" t="e">
        <f t="shared" si="178"/>
        <v>#DIV/0!</v>
      </c>
      <c r="O150" s="17" t="e">
        <f t="shared" si="179"/>
        <v>#DIV/0!</v>
      </c>
      <c r="Q150" s="62">
        <v>0.6</v>
      </c>
      <c r="R150" s="62" t="e">
        <f t="shared" si="190"/>
        <v>#DIV/0!</v>
      </c>
      <c r="S150" s="62" t="e">
        <f t="shared" si="191"/>
        <v>#DIV/0!</v>
      </c>
      <c r="T150" s="62" t="e">
        <f t="shared" si="192"/>
        <v>#DIV/0!</v>
      </c>
      <c r="U150" s="62" t="e">
        <f t="shared" si="193"/>
        <v>#DIV/0!</v>
      </c>
      <c r="V150" s="62" t="e">
        <f t="shared" si="194"/>
        <v>#DIV/0!</v>
      </c>
      <c r="W150" s="59" t="e">
        <f t="shared" si="202"/>
        <v>#DIV/0!</v>
      </c>
      <c r="X150" s="101" t="e">
        <f t="shared" si="197"/>
        <v>#DIV/0!</v>
      </c>
      <c r="Y150" s="104"/>
      <c r="AA150" s="62" t="e">
        <f t="shared" si="163"/>
        <v>#DIV/0!</v>
      </c>
      <c r="AN150" s="55"/>
      <c r="AP150" s="59" t="s">
        <v>67</v>
      </c>
      <c r="AQ150" s="62"/>
      <c r="AR150" s="63" t="str">
        <f>IF(AR$16=1,AR10,"")</f>
        <v/>
      </c>
      <c r="AS150" s="63" t="str">
        <f t="shared" ref="AS150:BF150" si="203">IF(AS$16=1,AS10,"")</f>
        <v/>
      </c>
      <c r="AT150" s="63" t="str">
        <f t="shared" si="203"/>
        <v/>
      </c>
      <c r="AU150" s="63" t="str">
        <f t="shared" si="203"/>
        <v/>
      </c>
      <c r="AV150" s="63" t="str">
        <f t="shared" si="203"/>
        <v/>
      </c>
      <c r="AW150" s="63" t="str">
        <f t="shared" si="203"/>
        <v/>
      </c>
      <c r="AX150" s="63" t="str">
        <f t="shared" si="203"/>
        <v/>
      </c>
      <c r="AY150" s="63" t="str">
        <f t="shared" si="203"/>
        <v/>
      </c>
      <c r="AZ150" s="63" t="str">
        <f t="shared" si="203"/>
        <v/>
      </c>
      <c r="BA150" s="63" t="str">
        <f t="shared" si="203"/>
        <v/>
      </c>
      <c r="BB150" s="63" t="str">
        <f t="shared" si="203"/>
        <v/>
      </c>
      <c r="BC150" s="63" t="str">
        <f t="shared" si="203"/>
        <v/>
      </c>
      <c r="BD150" s="63" t="str">
        <f t="shared" si="203"/>
        <v/>
      </c>
      <c r="BE150" s="63" t="str">
        <f t="shared" si="203"/>
        <v/>
      </c>
      <c r="BF150" s="63" t="str">
        <f t="shared" si="203"/>
        <v/>
      </c>
      <c r="BI150" s="59" t="s">
        <v>67</v>
      </c>
      <c r="BJ150" s="59"/>
      <c r="BK150" s="63" t="e">
        <f t="shared" ref="BK150:BY150" si="204">IF(AR$16=1,AR10,NA())</f>
        <v>#N/A</v>
      </c>
      <c r="BL150" s="63" t="e">
        <f t="shared" si="204"/>
        <v>#N/A</v>
      </c>
      <c r="BM150" s="63" t="e">
        <f t="shared" si="204"/>
        <v>#N/A</v>
      </c>
      <c r="BN150" s="63" t="e">
        <f t="shared" si="204"/>
        <v>#N/A</v>
      </c>
      <c r="BO150" s="63" t="e">
        <f t="shared" si="204"/>
        <v>#N/A</v>
      </c>
      <c r="BP150" s="63" t="e">
        <f t="shared" si="204"/>
        <v>#N/A</v>
      </c>
      <c r="BQ150" s="63" t="e">
        <f t="shared" si="204"/>
        <v>#N/A</v>
      </c>
      <c r="BR150" s="63" t="e">
        <f t="shared" si="204"/>
        <v>#N/A</v>
      </c>
      <c r="BS150" s="63" t="e">
        <f t="shared" si="204"/>
        <v>#N/A</v>
      </c>
      <c r="BT150" s="63" t="e">
        <f t="shared" si="204"/>
        <v>#N/A</v>
      </c>
      <c r="BU150" s="63" t="e">
        <f t="shared" si="204"/>
        <v>#N/A</v>
      </c>
      <c r="BV150" s="63" t="e">
        <f t="shared" si="204"/>
        <v>#N/A</v>
      </c>
      <c r="BW150" s="63" t="e">
        <f t="shared" si="204"/>
        <v>#N/A</v>
      </c>
      <c r="BX150" s="63" t="e">
        <f t="shared" si="204"/>
        <v>#N/A</v>
      </c>
      <c r="BY150" s="63" t="e">
        <f t="shared" si="204"/>
        <v>#N/A</v>
      </c>
    </row>
    <row r="151" spans="1:77" x14ac:dyDescent="0.5">
      <c r="A151" s="49"/>
      <c r="B151" s="62">
        <v>0.13999999999999899</v>
      </c>
      <c r="C151" s="62" t="e">
        <f t="shared" si="167"/>
        <v>#DIV/0!</v>
      </c>
      <c r="D151" s="62" t="e">
        <f t="shared" si="168"/>
        <v>#DIV/0!</v>
      </c>
      <c r="E151" s="59">
        <f t="shared" si="171"/>
        <v>13.999999999999899</v>
      </c>
      <c r="F151" s="59" t="e">
        <f t="shared" si="172"/>
        <v>#DIV/0!</v>
      </c>
      <c r="G151" s="59" t="e">
        <f t="shared" si="173"/>
        <v>#DIV/0!</v>
      </c>
      <c r="H151" s="62" t="e">
        <f t="shared" si="169"/>
        <v>#DIV/0!</v>
      </c>
      <c r="I151" s="62" t="e">
        <f t="shared" si="170"/>
        <v>#DIV/0!</v>
      </c>
      <c r="J151" s="62" t="e">
        <f t="shared" si="174"/>
        <v>#DIV/0!</v>
      </c>
      <c r="K151" s="62" t="e">
        <f t="shared" si="175"/>
        <v>#DIV/0!</v>
      </c>
      <c r="L151" s="62" t="e">
        <f t="shared" si="176"/>
        <v>#DIV/0!</v>
      </c>
      <c r="M151" s="62" t="e">
        <f t="shared" si="177"/>
        <v>#DIV/0!</v>
      </c>
      <c r="N151" s="62" t="e">
        <f t="shared" si="178"/>
        <v>#DIV/0!</v>
      </c>
      <c r="O151" s="17" t="e">
        <f t="shared" si="179"/>
        <v>#DIV/0!</v>
      </c>
      <c r="Q151" s="62">
        <v>0.59</v>
      </c>
      <c r="R151" s="62" t="e">
        <f t="shared" si="190"/>
        <v>#DIV/0!</v>
      </c>
      <c r="S151" s="62" t="e">
        <f t="shared" si="191"/>
        <v>#DIV/0!</v>
      </c>
      <c r="T151" s="62" t="e">
        <f t="shared" si="192"/>
        <v>#DIV/0!</v>
      </c>
      <c r="U151" s="62" t="e">
        <f t="shared" si="193"/>
        <v>#DIV/0!</v>
      </c>
      <c r="V151" s="62" t="e">
        <f t="shared" si="194"/>
        <v>#DIV/0!</v>
      </c>
      <c r="W151" s="59" t="e">
        <f t="shared" si="202"/>
        <v>#DIV/0!</v>
      </c>
      <c r="X151" s="101" t="e">
        <f t="shared" si="197"/>
        <v>#DIV/0!</v>
      </c>
      <c r="Y151" s="104"/>
      <c r="AA151" s="62" t="e">
        <f t="shared" si="163"/>
        <v>#DIV/0!</v>
      </c>
      <c r="AN151" s="55"/>
      <c r="AP151" s="59" t="s">
        <v>68</v>
      </c>
      <c r="AQ151" s="62"/>
      <c r="AR151" s="63" t="str">
        <f>IF(AR$16=1,AR136,"")</f>
        <v/>
      </c>
      <c r="AS151" s="63" t="str">
        <f>IF(AS$16=1,AS136,"")</f>
        <v/>
      </c>
      <c r="AT151" s="63" t="str">
        <f t="shared" ref="AT151:AZ151" si="205">IF(AT$16=1,AT136,"")</f>
        <v/>
      </c>
      <c r="AU151" s="63" t="str">
        <f t="shared" si="205"/>
        <v/>
      </c>
      <c r="AV151" s="63" t="str">
        <f t="shared" si="205"/>
        <v/>
      </c>
      <c r="AW151" s="63" t="str">
        <f t="shared" si="205"/>
        <v/>
      </c>
      <c r="AX151" s="63" t="str">
        <f t="shared" si="205"/>
        <v/>
      </c>
      <c r="AY151" s="63" t="str">
        <f t="shared" si="205"/>
        <v/>
      </c>
      <c r="AZ151" s="63" t="str">
        <f t="shared" si="205"/>
        <v/>
      </c>
      <c r="BA151" s="63" t="str">
        <f t="shared" ref="BA151:BF151" si="206">IF(BA$16=1,BA136,"")</f>
        <v/>
      </c>
      <c r="BB151" s="63" t="str">
        <f t="shared" si="206"/>
        <v/>
      </c>
      <c r="BC151" s="63" t="str">
        <f t="shared" si="206"/>
        <v/>
      </c>
      <c r="BD151" s="63" t="str">
        <f t="shared" si="206"/>
        <v/>
      </c>
      <c r="BE151" s="63" t="str">
        <f t="shared" si="206"/>
        <v/>
      </c>
      <c r="BF151" s="63" t="str">
        <f t="shared" si="206"/>
        <v/>
      </c>
      <c r="BI151" s="59" t="s">
        <v>68</v>
      </c>
      <c r="BJ151" s="59"/>
      <c r="BK151" s="63" t="e">
        <f t="shared" ref="BK151:BS151" si="207">IF(AR$16=1,AR136,NA())</f>
        <v>#N/A</v>
      </c>
      <c r="BL151" s="63" t="e">
        <f t="shared" si="207"/>
        <v>#N/A</v>
      </c>
      <c r="BM151" s="63" t="e">
        <f t="shared" si="207"/>
        <v>#N/A</v>
      </c>
      <c r="BN151" s="63" t="e">
        <f t="shared" si="207"/>
        <v>#N/A</v>
      </c>
      <c r="BO151" s="63" t="e">
        <f t="shared" si="207"/>
        <v>#N/A</v>
      </c>
      <c r="BP151" s="63" t="e">
        <f t="shared" si="207"/>
        <v>#N/A</v>
      </c>
      <c r="BQ151" s="63" t="e">
        <f t="shared" si="207"/>
        <v>#N/A</v>
      </c>
      <c r="BR151" s="63" t="e">
        <f t="shared" si="207"/>
        <v>#N/A</v>
      </c>
      <c r="BS151" s="63" t="e">
        <f t="shared" si="207"/>
        <v>#N/A</v>
      </c>
      <c r="BT151" s="63" t="e">
        <f t="shared" ref="BT151:BY151" si="208">IF(BA$16=1,BA136,NA())</f>
        <v>#N/A</v>
      </c>
      <c r="BU151" s="63" t="e">
        <f t="shared" si="208"/>
        <v>#N/A</v>
      </c>
      <c r="BV151" s="63" t="e">
        <f t="shared" si="208"/>
        <v>#N/A</v>
      </c>
      <c r="BW151" s="63" t="e">
        <f t="shared" si="208"/>
        <v>#N/A</v>
      </c>
      <c r="BX151" s="63" t="e">
        <f t="shared" si="208"/>
        <v>#N/A</v>
      </c>
      <c r="BY151" s="63" t="e">
        <f t="shared" si="208"/>
        <v>#N/A</v>
      </c>
    </row>
    <row r="152" spans="1:77" x14ac:dyDescent="0.5">
      <c r="A152" s="49"/>
      <c r="B152" s="62">
        <v>0.12999999999999901</v>
      </c>
      <c r="C152" s="62" t="e">
        <f t="shared" si="167"/>
        <v>#DIV/0!</v>
      </c>
      <c r="D152" s="62" t="e">
        <f t="shared" si="168"/>
        <v>#DIV/0!</v>
      </c>
      <c r="E152" s="59">
        <f t="shared" si="171"/>
        <v>12.999999999999901</v>
      </c>
      <c r="F152" s="59" t="e">
        <f t="shared" si="172"/>
        <v>#DIV/0!</v>
      </c>
      <c r="G152" s="59" t="e">
        <f t="shared" si="173"/>
        <v>#DIV/0!</v>
      </c>
      <c r="H152" s="62" t="e">
        <f t="shared" si="169"/>
        <v>#DIV/0!</v>
      </c>
      <c r="I152" s="62" t="e">
        <f t="shared" si="170"/>
        <v>#DIV/0!</v>
      </c>
      <c r="J152" s="62" t="e">
        <f t="shared" si="174"/>
        <v>#DIV/0!</v>
      </c>
      <c r="K152" s="62" t="e">
        <f t="shared" si="175"/>
        <v>#DIV/0!</v>
      </c>
      <c r="L152" s="62" t="e">
        <f t="shared" si="176"/>
        <v>#DIV/0!</v>
      </c>
      <c r="M152" s="62" t="e">
        <f t="shared" si="177"/>
        <v>#DIV/0!</v>
      </c>
      <c r="N152" s="62" t="e">
        <f t="shared" si="178"/>
        <v>#DIV/0!</v>
      </c>
      <c r="O152" s="17" t="e">
        <f t="shared" si="179"/>
        <v>#DIV/0!</v>
      </c>
      <c r="Q152" s="62">
        <v>0.57999999999999996</v>
      </c>
      <c r="R152" s="62" t="e">
        <f t="shared" si="190"/>
        <v>#DIV/0!</v>
      </c>
      <c r="S152" s="62" t="e">
        <f t="shared" si="191"/>
        <v>#DIV/0!</v>
      </c>
      <c r="T152" s="62" t="e">
        <f t="shared" si="192"/>
        <v>#DIV/0!</v>
      </c>
      <c r="U152" s="62" t="e">
        <f t="shared" si="193"/>
        <v>#DIV/0!</v>
      </c>
      <c r="V152" s="62" t="e">
        <f t="shared" si="194"/>
        <v>#DIV/0!</v>
      </c>
      <c r="W152" s="59" t="e">
        <f t="shared" ref="W152:W183" si="209">ROUND(SLOPE(T147:T157,U147:U157),0)</f>
        <v>#DIV/0!</v>
      </c>
      <c r="X152" s="101" t="e">
        <f t="shared" si="197"/>
        <v>#DIV/0!</v>
      </c>
      <c r="Y152" s="104"/>
      <c r="AA152" s="62" t="e">
        <f t="shared" si="163"/>
        <v>#DIV/0!</v>
      </c>
      <c r="AN152" s="55"/>
      <c r="AP152" s="59" t="s">
        <v>69</v>
      </c>
      <c r="AQ152" s="59"/>
      <c r="AR152" s="63" t="str">
        <f>IF(AR150="","",(AR150-AR151)^2)</f>
        <v/>
      </c>
      <c r="AS152" s="63" t="str">
        <f t="shared" ref="AS152:AZ152" si="210">IF(AS150="","",(AS150-AS151)^2)</f>
        <v/>
      </c>
      <c r="AT152" s="63" t="str">
        <f t="shared" si="210"/>
        <v/>
      </c>
      <c r="AU152" s="63" t="str">
        <f t="shared" si="210"/>
        <v/>
      </c>
      <c r="AV152" s="63" t="str">
        <f t="shared" si="210"/>
        <v/>
      </c>
      <c r="AW152" s="63" t="str">
        <f t="shared" si="210"/>
        <v/>
      </c>
      <c r="AX152" s="63" t="str">
        <f t="shared" si="210"/>
        <v/>
      </c>
      <c r="AY152" s="63" t="str">
        <f t="shared" si="210"/>
        <v/>
      </c>
      <c r="AZ152" s="63" t="str">
        <f t="shared" si="210"/>
        <v/>
      </c>
      <c r="BA152" s="63" t="str">
        <f t="shared" ref="BA152:BF152" si="211">IF(BA150="","",(BA150-BA151)^2)</f>
        <v/>
      </c>
      <c r="BB152" s="63" t="str">
        <f t="shared" si="211"/>
        <v/>
      </c>
      <c r="BC152" s="63" t="str">
        <f t="shared" si="211"/>
        <v/>
      </c>
      <c r="BD152" s="63" t="str">
        <f t="shared" si="211"/>
        <v/>
      </c>
      <c r="BE152" s="63" t="str">
        <f t="shared" si="211"/>
        <v/>
      </c>
      <c r="BF152" s="63" t="str">
        <f t="shared" si="211"/>
        <v/>
      </c>
      <c r="BI152" s="59" t="s">
        <v>69</v>
      </c>
      <c r="BJ152" s="59"/>
      <c r="BK152" s="63" t="e">
        <f t="shared" ref="BK152:BS152" si="212">IF(AR150="",NA(),(BK150-BK151)^2)</f>
        <v>#N/A</v>
      </c>
      <c r="BL152" s="63" t="e">
        <f t="shared" si="212"/>
        <v>#N/A</v>
      </c>
      <c r="BM152" s="63" t="e">
        <f t="shared" si="212"/>
        <v>#N/A</v>
      </c>
      <c r="BN152" s="63" t="e">
        <f t="shared" si="212"/>
        <v>#N/A</v>
      </c>
      <c r="BO152" s="63" t="e">
        <f t="shared" si="212"/>
        <v>#N/A</v>
      </c>
      <c r="BP152" s="63" t="e">
        <f t="shared" si="212"/>
        <v>#N/A</v>
      </c>
      <c r="BQ152" s="63" t="e">
        <f t="shared" si="212"/>
        <v>#N/A</v>
      </c>
      <c r="BR152" s="63" t="e">
        <f t="shared" si="212"/>
        <v>#N/A</v>
      </c>
      <c r="BS152" s="63" t="e">
        <f t="shared" si="212"/>
        <v>#N/A</v>
      </c>
      <c r="BT152" s="63" t="e">
        <f t="shared" ref="BT152:BY152" si="213">IF(BA150="",NA(),(BT150-BT151)^2)</f>
        <v>#N/A</v>
      </c>
      <c r="BU152" s="63" t="e">
        <f t="shared" si="213"/>
        <v>#N/A</v>
      </c>
      <c r="BV152" s="63" t="e">
        <f t="shared" si="213"/>
        <v>#N/A</v>
      </c>
      <c r="BW152" s="63" t="e">
        <f t="shared" si="213"/>
        <v>#N/A</v>
      </c>
      <c r="BX152" s="63" t="e">
        <f t="shared" si="213"/>
        <v>#N/A</v>
      </c>
      <c r="BY152" s="63" t="e">
        <f t="shared" si="213"/>
        <v>#N/A</v>
      </c>
    </row>
    <row r="153" spans="1:77" x14ac:dyDescent="0.5">
      <c r="A153" s="49"/>
      <c r="B153" s="62">
        <v>0.119999999999999</v>
      </c>
      <c r="C153" s="62" t="e">
        <f t="shared" ref="C153:C156" si="214">I153/$U$66</f>
        <v>#DIV/0!</v>
      </c>
      <c r="D153" s="62" t="e">
        <f t="shared" ref="D153:D156" si="215">L153/$U$67</f>
        <v>#DIV/0!</v>
      </c>
      <c r="E153" s="59">
        <f t="shared" ref="E153:E156" si="216">B153*100</f>
        <v>11.999999999999901</v>
      </c>
      <c r="F153" s="59" t="e">
        <f t="shared" ref="F153:F156" si="217">C153*100</f>
        <v>#DIV/0!</v>
      </c>
      <c r="G153" s="59" t="e">
        <f t="shared" ref="G153:G156" si="218">D153*100</f>
        <v>#DIV/0!</v>
      </c>
      <c r="H153" s="62" t="e">
        <f t="shared" si="169"/>
        <v>#DIV/0!</v>
      </c>
      <c r="I153" s="62" t="e">
        <f t="shared" si="170"/>
        <v>#DIV/0!</v>
      </c>
      <c r="J153" s="62" t="e">
        <f t="shared" ref="J153:J156" si="219">I153-$AP$4</f>
        <v>#DIV/0!</v>
      </c>
      <c r="K153" s="62" t="e">
        <f t="shared" ref="K153:K156" si="220">I153+$AP$4</f>
        <v>#DIV/0!</v>
      </c>
      <c r="L153" s="62" t="e">
        <f t="shared" ref="L153:L156" si="221">H153*I153</f>
        <v>#DIV/0!</v>
      </c>
      <c r="M153" s="62" t="e">
        <f t="shared" ref="M153:M156" si="222">J153*H153</f>
        <v>#DIV/0!</v>
      </c>
      <c r="N153" s="62" t="e">
        <f t="shared" ref="N153:N156" si="223">K153*H153</f>
        <v>#DIV/0!</v>
      </c>
      <c r="O153" s="17" t="e">
        <f t="shared" si="179"/>
        <v>#DIV/0!</v>
      </c>
      <c r="Q153" s="62">
        <v>0.56999999999999995</v>
      </c>
      <c r="R153" s="62" t="e">
        <f t="shared" si="190"/>
        <v>#DIV/0!</v>
      </c>
      <c r="S153" s="62" t="e">
        <f t="shared" si="191"/>
        <v>#DIV/0!</v>
      </c>
      <c r="T153" s="62" t="e">
        <f t="shared" si="192"/>
        <v>#DIV/0!</v>
      </c>
      <c r="U153" s="62" t="e">
        <f t="shared" si="193"/>
        <v>#DIV/0!</v>
      </c>
      <c r="V153" s="62" t="e">
        <f t="shared" si="194"/>
        <v>#DIV/0!</v>
      </c>
      <c r="W153" s="59" t="e">
        <f t="shared" si="209"/>
        <v>#DIV/0!</v>
      </c>
      <c r="X153" s="101" t="e">
        <f t="shared" si="197"/>
        <v>#DIV/0!</v>
      </c>
      <c r="Y153" s="104"/>
      <c r="AA153" s="62" t="e">
        <f t="shared" ref="AA153:AA156" si="224">((($AT$116-T153)*$AT$118)/(T153+$AT$117))</f>
        <v>#DIV/0!</v>
      </c>
      <c r="AN153" s="55"/>
    </row>
    <row r="154" spans="1:77" x14ac:dyDescent="0.5">
      <c r="A154" s="49"/>
      <c r="B154" s="62">
        <v>0.109999999999999</v>
      </c>
      <c r="C154" s="62" t="e">
        <f t="shared" si="214"/>
        <v>#DIV/0!</v>
      </c>
      <c r="D154" s="62" t="e">
        <f t="shared" si="215"/>
        <v>#DIV/0!</v>
      </c>
      <c r="E154" s="59">
        <f t="shared" si="216"/>
        <v>10.999999999999901</v>
      </c>
      <c r="F154" s="59" t="e">
        <f t="shared" si="217"/>
        <v>#DIV/0!</v>
      </c>
      <c r="G154" s="59" t="e">
        <f t="shared" si="218"/>
        <v>#DIV/0!</v>
      </c>
      <c r="H154" s="62" t="e">
        <f t="shared" si="169"/>
        <v>#DIV/0!</v>
      </c>
      <c r="I154" s="62" t="e">
        <f t="shared" si="170"/>
        <v>#DIV/0!</v>
      </c>
      <c r="J154" s="62" t="e">
        <f t="shared" si="219"/>
        <v>#DIV/0!</v>
      </c>
      <c r="K154" s="62" t="e">
        <f t="shared" si="220"/>
        <v>#DIV/0!</v>
      </c>
      <c r="L154" s="62" t="e">
        <f t="shared" si="221"/>
        <v>#DIV/0!</v>
      </c>
      <c r="M154" s="62" t="e">
        <f t="shared" si="222"/>
        <v>#DIV/0!</v>
      </c>
      <c r="N154" s="62" t="e">
        <f t="shared" si="223"/>
        <v>#DIV/0!</v>
      </c>
      <c r="O154" s="17" t="e">
        <f t="shared" si="179"/>
        <v>#DIV/0!</v>
      </c>
      <c r="Q154" s="62">
        <v>0.56000000000000005</v>
      </c>
      <c r="R154" s="62" t="e">
        <f t="shared" si="190"/>
        <v>#DIV/0!</v>
      </c>
      <c r="S154" s="62" t="e">
        <f t="shared" si="191"/>
        <v>#DIV/0!</v>
      </c>
      <c r="T154" s="62" t="e">
        <f t="shared" si="192"/>
        <v>#DIV/0!</v>
      </c>
      <c r="U154" s="62" t="e">
        <f t="shared" si="193"/>
        <v>#DIV/0!</v>
      </c>
      <c r="V154" s="62" t="e">
        <f t="shared" si="194"/>
        <v>#DIV/0!</v>
      </c>
      <c r="W154" s="59" t="e">
        <f t="shared" si="209"/>
        <v>#DIV/0!</v>
      </c>
      <c r="X154" s="101" t="e">
        <f t="shared" si="197"/>
        <v>#DIV/0!</v>
      </c>
      <c r="Y154" s="104"/>
      <c r="AA154" s="62" t="e">
        <f t="shared" si="224"/>
        <v>#DIV/0!</v>
      </c>
      <c r="AN154" s="55"/>
      <c r="AP154" s="59" t="s">
        <v>296</v>
      </c>
      <c r="AQ154" s="59"/>
      <c r="AR154" s="63" t="str">
        <f>IF(AR$16=1,AR110/$AT$119,"")</f>
        <v/>
      </c>
      <c r="AS154" s="63" t="str">
        <f t="shared" ref="AS154:BC154" si="225">IF(AS$16=1,AS110/$AT$119,"")</f>
        <v/>
      </c>
      <c r="AT154" s="63" t="str">
        <f t="shared" si="225"/>
        <v/>
      </c>
      <c r="AU154" s="63" t="str">
        <f t="shared" si="225"/>
        <v/>
      </c>
      <c r="AV154" s="63" t="str">
        <f t="shared" si="225"/>
        <v/>
      </c>
      <c r="AW154" s="63" t="str">
        <f t="shared" si="225"/>
        <v/>
      </c>
      <c r="AX154" s="63" t="str">
        <f t="shared" si="225"/>
        <v/>
      </c>
      <c r="AY154" s="63" t="str">
        <f t="shared" si="225"/>
        <v/>
      </c>
      <c r="AZ154" s="63" t="str">
        <f t="shared" si="225"/>
        <v/>
      </c>
      <c r="BA154" s="63" t="str">
        <f t="shared" si="225"/>
        <v/>
      </c>
      <c r="BB154" s="63" t="str">
        <f t="shared" si="225"/>
        <v/>
      </c>
      <c r="BC154" s="63" t="str">
        <f t="shared" si="225"/>
        <v/>
      </c>
      <c r="BD154" s="63" t="str">
        <f t="shared" ref="BD154:BF154" si="226">IF(BD$16=1,BD110,"")</f>
        <v/>
      </c>
      <c r="BE154" s="63" t="str">
        <f t="shared" si="226"/>
        <v/>
      </c>
      <c r="BF154" s="63" t="str">
        <f t="shared" si="226"/>
        <v/>
      </c>
    </row>
    <row r="155" spans="1:77" x14ac:dyDescent="0.5">
      <c r="A155" s="49"/>
      <c r="B155" s="62">
        <v>9.9999999999999006E-2</v>
      </c>
      <c r="C155" s="62" t="e">
        <f t="shared" si="214"/>
        <v>#DIV/0!</v>
      </c>
      <c r="D155" s="62" t="e">
        <f t="shared" si="215"/>
        <v>#DIV/0!</v>
      </c>
      <c r="E155" s="59">
        <f t="shared" si="216"/>
        <v>9.9999999999999005</v>
      </c>
      <c r="F155" s="59" t="e">
        <f t="shared" si="217"/>
        <v>#DIV/0!</v>
      </c>
      <c r="G155" s="59" t="e">
        <f t="shared" si="218"/>
        <v>#DIV/0!</v>
      </c>
      <c r="H155" s="62" t="e">
        <f t="shared" si="169"/>
        <v>#DIV/0!</v>
      </c>
      <c r="I155" s="62" t="e">
        <f t="shared" si="170"/>
        <v>#DIV/0!</v>
      </c>
      <c r="J155" s="62" t="e">
        <f t="shared" si="219"/>
        <v>#DIV/0!</v>
      </c>
      <c r="K155" s="62" t="e">
        <f t="shared" si="220"/>
        <v>#DIV/0!</v>
      </c>
      <c r="L155" s="62" t="e">
        <f t="shared" si="221"/>
        <v>#DIV/0!</v>
      </c>
      <c r="M155" s="62" t="e">
        <f t="shared" si="222"/>
        <v>#DIV/0!</v>
      </c>
      <c r="N155" s="62" t="e">
        <f t="shared" si="223"/>
        <v>#DIV/0!</v>
      </c>
      <c r="O155" s="17" t="e">
        <f t="shared" si="179"/>
        <v>#DIV/0!</v>
      </c>
      <c r="Q155" s="62">
        <v>0.55000000000000004</v>
      </c>
      <c r="R155" s="62" t="e">
        <f t="shared" si="190"/>
        <v>#DIV/0!</v>
      </c>
      <c r="S155" s="62" t="e">
        <f t="shared" si="191"/>
        <v>#DIV/0!</v>
      </c>
      <c r="T155" s="62" t="e">
        <f t="shared" si="192"/>
        <v>#DIV/0!</v>
      </c>
      <c r="U155" s="62" t="e">
        <f t="shared" si="193"/>
        <v>#DIV/0!</v>
      </c>
      <c r="V155" s="62" t="e">
        <f t="shared" si="194"/>
        <v>#DIV/0!</v>
      </c>
      <c r="W155" s="59" t="e">
        <f t="shared" si="209"/>
        <v>#DIV/0!</v>
      </c>
      <c r="X155" s="101" t="e">
        <f t="shared" si="197"/>
        <v>#DIV/0!</v>
      </c>
      <c r="Y155" s="104"/>
      <c r="AA155" s="62" t="e">
        <f t="shared" si="224"/>
        <v>#DIV/0!</v>
      </c>
      <c r="AN155" s="55"/>
      <c r="AP155" s="59" t="s">
        <v>142</v>
      </c>
      <c r="AQ155" s="59"/>
      <c r="AR155" s="63" t="str">
        <f>IF(AR$16=1,((($AT$116-AR110)*$AT$118)/(AR110+$AT$117)),"")</f>
        <v/>
      </c>
      <c r="AS155" s="63" t="str">
        <f t="shared" ref="AS155:BF155" si="227">IF(AS$16=1,((($AT$116-AS110)*$AT$118)/(AS110+$AT$117)),"")</f>
        <v/>
      </c>
      <c r="AT155" s="63" t="str">
        <f t="shared" si="227"/>
        <v/>
      </c>
      <c r="AU155" s="63" t="str">
        <f t="shared" si="227"/>
        <v/>
      </c>
      <c r="AV155" s="63" t="str">
        <f t="shared" si="227"/>
        <v/>
      </c>
      <c r="AW155" s="63" t="str">
        <f t="shared" si="227"/>
        <v/>
      </c>
      <c r="AX155" s="63" t="str">
        <f t="shared" si="227"/>
        <v/>
      </c>
      <c r="AY155" s="63" t="str">
        <f t="shared" si="227"/>
        <v/>
      </c>
      <c r="AZ155" s="63" t="str">
        <f t="shared" si="227"/>
        <v/>
      </c>
      <c r="BA155" s="63" t="str">
        <f t="shared" si="227"/>
        <v/>
      </c>
      <c r="BB155" s="63" t="str">
        <f t="shared" si="227"/>
        <v/>
      </c>
      <c r="BC155" s="63" t="str">
        <f t="shared" si="227"/>
        <v/>
      </c>
      <c r="BD155" s="63" t="str">
        <f t="shared" si="227"/>
        <v/>
      </c>
      <c r="BE155" s="63" t="str">
        <f t="shared" si="227"/>
        <v/>
      </c>
      <c r="BF155" s="63" t="str">
        <f t="shared" si="227"/>
        <v/>
      </c>
    </row>
    <row r="156" spans="1:77" x14ac:dyDescent="0.5">
      <c r="A156" s="49"/>
      <c r="B156" s="62">
        <v>8.9999999999998997E-2</v>
      </c>
      <c r="C156" s="62" t="e">
        <f t="shared" si="214"/>
        <v>#DIV/0!</v>
      </c>
      <c r="D156" s="62" t="e">
        <f t="shared" si="215"/>
        <v>#DIV/0!</v>
      </c>
      <c r="E156" s="59">
        <f t="shared" si="216"/>
        <v>8.9999999999999005</v>
      </c>
      <c r="F156" s="59" t="e">
        <f t="shared" si="217"/>
        <v>#DIV/0!</v>
      </c>
      <c r="G156" s="59" t="e">
        <f t="shared" si="218"/>
        <v>#DIV/0!</v>
      </c>
      <c r="H156" s="62" t="e">
        <f t="shared" si="169"/>
        <v>#DIV/0!</v>
      </c>
      <c r="I156" s="62" t="e">
        <f t="shared" si="170"/>
        <v>#DIV/0!</v>
      </c>
      <c r="J156" s="62" t="e">
        <f t="shared" si="219"/>
        <v>#DIV/0!</v>
      </c>
      <c r="K156" s="62" t="e">
        <f t="shared" si="220"/>
        <v>#DIV/0!</v>
      </c>
      <c r="L156" s="62" t="e">
        <f t="shared" si="221"/>
        <v>#DIV/0!</v>
      </c>
      <c r="M156" s="62" t="e">
        <f t="shared" si="222"/>
        <v>#DIV/0!</v>
      </c>
      <c r="N156" s="62" t="e">
        <f t="shared" si="223"/>
        <v>#DIV/0!</v>
      </c>
      <c r="O156" s="17" t="e">
        <f t="shared" si="179"/>
        <v>#DIV/0!</v>
      </c>
      <c r="Q156" s="62">
        <v>0.54</v>
      </c>
      <c r="R156" s="62" t="e">
        <f t="shared" si="190"/>
        <v>#DIV/0!</v>
      </c>
      <c r="S156" s="62" t="e">
        <f t="shared" si="191"/>
        <v>#DIV/0!</v>
      </c>
      <c r="T156" s="62" t="e">
        <f t="shared" si="192"/>
        <v>#DIV/0!</v>
      </c>
      <c r="U156" s="62" t="e">
        <f t="shared" si="193"/>
        <v>#DIV/0!</v>
      </c>
      <c r="V156" s="62" t="e">
        <f t="shared" si="194"/>
        <v>#DIV/0!</v>
      </c>
      <c r="W156" s="59" t="e">
        <f t="shared" si="209"/>
        <v>#DIV/0!</v>
      </c>
      <c r="X156" s="101" t="e">
        <f t="shared" si="197"/>
        <v>#DIV/0!</v>
      </c>
      <c r="Y156" s="104"/>
      <c r="AA156" s="62" t="e">
        <f t="shared" si="224"/>
        <v>#DIV/0!</v>
      </c>
      <c r="AN156" s="55"/>
      <c r="AP156" s="59" t="s">
        <v>69</v>
      </c>
      <c r="AQ156" s="59"/>
      <c r="AR156" s="63" t="str">
        <f>IF(AR150="","",IF(AR154&lt;$AV$126,(AR150-AR155)^2,""))</f>
        <v/>
      </c>
      <c r="AS156" s="63" t="str">
        <f>IF(AS150="","",IF(AS154&lt;$AV$126,(AS150-AS155)^2,""))</f>
        <v/>
      </c>
      <c r="AT156" s="63" t="str">
        <f t="shared" ref="AT156:BF156" si="228">IF(AT150="","",IF(AT154&lt;$AV$126,(AT150-AT155)^2,""))</f>
        <v/>
      </c>
      <c r="AU156" s="63" t="str">
        <f t="shared" si="228"/>
        <v/>
      </c>
      <c r="AV156" s="63" t="str">
        <f t="shared" si="228"/>
        <v/>
      </c>
      <c r="AW156" s="63" t="str">
        <f t="shared" si="228"/>
        <v/>
      </c>
      <c r="AX156" s="63" t="str">
        <f t="shared" si="228"/>
        <v/>
      </c>
      <c r="AY156" s="63" t="str">
        <f t="shared" si="228"/>
        <v/>
      </c>
      <c r="AZ156" s="63" t="str">
        <f t="shared" si="228"/>
        <v/>
      </c>
      <c r="BA156" s="63" t="str">
        <f t="shared" si="228"/>
        <v/>
      </c>
      <c r="BB156" s="63" t="str">
        <f t="shared" si="228"/>
        <v/>
      </c>
      <c r="BC156" s="63" t="str">
        <f t="shared" si="228"/>
        <v/>
      </c>
      <c r="BD156" s="63" t="str">
        <f t="shared" si="228"/>
        <v/>
      </c>
      <c r="BE156" s="63" t="str">
        <f t="shared" si="228"/>
        <v/>
      </c>
      <c r="BF156" s="63" t="str">
        <f t="shared" si="228"/>
        <v/>
      </c>
    </row>
    <row r="157" spans="1:77" x14ac:dyDescent="0.5">
      <c r="A157" s="49"/>
      <c r="B157" s="62">
        <v>7.9999999999999002E-2</v>
      </c>
      <c r="C157" s="62" t="e">
        <f t="shared" ref="C157:C165" si="229">I157/$U$66</f>
        <v>#DIV/0!</v>
      </c>
      <c r="D157" s="62" t="e">
        <f t="shared" ref="D157:D165" si="230">L157/$U$67</f>
        <v>#DIV/0!</v>
      </c>
      <c r="E157" s="59">
        <f t="shared" ref="E157:E165" si="231">B157*100</f>
        <v>7.9999999999999005</v>
      </c>
      <c r="F157" s="59" t="e">
        <f t="shared" ref="F157:F165" si="232">C157*100</f>
        <v>#DIV/0!</v>
      </c>
      <c r="G157" s="59" t="e">
        <f t="shared" ref="G157:G165" si="233">D157*100</f>
        <v>#DIV/0!</v>
      </c>
      <c r="H157" s="62" t="e">
        <f t="shared" si="169"/>
        <v>#DIV/0!</v>
      </c>
      <c r="I157" s="62" t="e">
        <f t="shared" si="170"/>
        <v>#DIV/0!</v>
      </c>
      <c r="J157" s="62" t="e">
        <f t="shared" ref="J157:J165" si="234">I157-$AP$4</f>
        <v>#DIV/0!</v>
      </c>
      <c r="K157" s="62" t="e">
        <f t="shared" ref="K157:K165" si="235">I157+$AP$4</f>
        <v>#DIV/0!</v>
      </c>
      <c r="L157" s="62" t="e">
        <f t="shared" ref="L157:L165" si="236">H157*I157</f>
        <v>#DIV/0!</v>
      </c>
      <c r="M157" s="62" t="e">
        <f t="shared" ref="M157:M165" si="237">J157*H157</f>
        <v>#DIV/0!</v>
      </c>
      <c r="N157" s="62" t="e">
        <f t="shared" ref="N157:N165" si="238">K157*H157</f>
        <v>#DIV/0!</v>
      </c>
      <c r="O157" s="17" t="e">
        <f t="shared" si="179"/>
        <v>#DIV/0!</v>
      </c>
      <c r="Q157" s="62">
        <v>0.53</v>
      </c>
      <c r="R157" s="62" t="e">
        <f t="shared" ref="R157:R173" si="239">U157/$AT$124</f>
        <v>#DIV/0!</v>
      </c>
      <c r="S157" s="62" t="e">
        <f t="shared" ref="S157:S173" si="240">V157/$AT$125</f>
        <v>#DIV/0!</v>
      </c>
      <c r="T157" s="62" t="e">
        <f t="shared" ref="T157:T173" si="241">$AT$119*Q157</f>
        <v>#DIV/0!</v>
      </c>
      <c r="U157" s="62" t="e">
        <f t="shared" ref="U157:U173" si="242">(1/(1+EXP($AT$122-T157/$AT$119)^$AT$121))*((T157-$AT$119)/$AT$120)+(1/(1+EXP(T157/$AT$119-$AT$122)^$AT$121))*((($AT$116-T157)*$AT$118)/(T157+$AT$117))</f>
        <v>#DIV/0!</v>
      </c>
      <c r="V157" s="62" t="e">
        <f t="shared" ref="V157:V173" si="243">T157*U157</f>
        <v>#DIV/0!</v>
      </c>
      <c r="W157" s="59" t="e">
        <f t="shared" si="209"/>
        <v>#DIV/0!</v>
      </c>
      <c r="X157" s="101" t="e">
        <f t="shared" ref="X157:X174" si="244">ROUND(((W156-W157)/$W$110),4)</f>
        <v>#DIV/0!</v>
      </c>
      <c r="Y157" s="104"/>
      <c r="AA157" s="62" t="e">
        <f t="shared" ref="AA157:AA174" si="245">((($AT$116-T157)*$AT$118)/(T157+$AT$117))</f>
        <v>#DIV/0!</v>
      </c>
      <c r="AN157" s="55"/>
    </row>
    <row r="158" spans="1:77" x14ac:dyDescent="0.5">
      <c r="A158" s="49"/>
      <c r="B158" s="62">
        <v>6.9999999999998994E-2</v>
      </c>
      <c r="C158" s="62" t="e">
        <f t="shared" si="229"/>
        <v>#DIV/0!</v>
      </c>
      <c r="D158" s="62" t="e">
        <f t="shared" si="230"/>
        <v>#DIV/0!</v>
      </c>
      <c r="E158" s="59">
        <f t="shared" si="231"/>
        <v>6.9999999999998996</v>
      </c>
      <c r="F158" s="59" t="e">
        <f t="shared" si="232"/>
        <v>#DIV/0!</v>
      </c>
      <c r="G158" s="59" t="e">
        <f t="shared" si="233"/>
        <v>#DIV/0!</v>
      </c>
      <c r="H158" s="62" t="e">
        <f t="shared" si="169"/>
        <v>#DIV/0!</v>
      </c>
      <c r="I158" s="62" t="e">
        <f t="shared" si="170"/>
        <v>#DIV/0!</v>
      </c>
      <c r="J158" s="62" t="e">
        <f t="shared" si="234"/>
        <v>#DIV/0!</v>
      </c>
      <c r="K158" s="62" t="e">
        <f t="shared" si="235"/>
        <v>#DIV/0!</v>
      </c>
      <c r="L158" s="62" t="e">
        <f t="shared" si="236"/>
        <v>#DIV/0!</v>
      </c>
      <c r="M158" s="62" t="e">
        <f t="shared" si="237"/>
        <v>#DIV/0!</v>
      </c>
      <c r="N158" s="62" t="e">
        <f t="shared" si="238"/>
        <v>#DIV/0!</v>
      </c>
      <c r="O158" s="17" t="e">
        <f t="shared" si="179"/>
        <v>#DIV/0!</v>
      </c>
      <c r="Q158" s="62">
        <v>0.52</v>
      </c>
      <c r="R158" s="62" t="e">
        <f t="shared" si="239"/>
        <v>#DIV/0!</v>
      </c>
      <c r="S158" s="62" t="e">
        <f t="shared" si="240"/>
        <v>#DIV/0!</v>
      </c>
      <c r="T158" s="62" t="e">
        <f t="shared" si="241"/>
        <v>#DIV/0!</v>
      </c>
      <c r="U158" s="62" t="e">
        <f t="shared" si="242"/>
        <v>#DIV/0!</v>
      </c>
      <c r="V158" s="62" t="e">
        <f t="shared" si="243"/>
        <v>#DIV/0!</v>
      </c>
      <c r="W158" s="59" t="e">
        <f t="shared" si="209"/>
        <v>#DIV/0!</v>
      </c>
      <c r="X158" s="101" t="e">
        <f t="shared" si="244"/>
        <v>#DIV/0!</v>
      </c>
      <c r="Y158" s="104"/>
      <c r="AA158" s="62" t="e">
        <f t="shared" si="245"/>
        <v>#DIV/0!</v>
      </c>
      <c r="AN158" s="55"/>
      <c r="AP158" s="59" t="s">
        <v>299</v>
      </c>
      <c r="AQ158" s="62"/>
      <c r="AR158" s="62" t="str">
        <f>IF(AR$16=1,AR11,"")</f>
        <v/>
      </c>
      <c r="AS158" s="62" t="str">
        <f t="shared" ref="AS158:BF158" si="246">IF(AS$16=1,AS11,"")</f>
        <v/>
      </c>
      <c r="AT158" s="62" t="str">
        <f t="shared" si="246"/>
        <v/>
      </c>
      <c r="AU158" s="62" t="str">
        <f t="shared" si="246"/>
        <v/>
      </c>
      <c r="AV158" s="62" t="str">
        <f t="shared" si="246"/>
        <v/>
      </c>
      <c r="AW158" s="62" t="str">
        <f t="shared" si="246"/>
        <v/>
      </c>
      <c r="AX158" s="62" t="str">
        <f t="shared" si="246"/>
        <v/>
      </c>
      <c r="AY158" s="62" t="str">
        <f t="shared" si="246"/>
        <v/>
      </c>
      <c r="AZ158" s="62" t="str">
        <f t="shared" si="246"/>
        <v/>
      </c>
      <c r="BA158" s="62" t="str">
        <f t="shared" si="246"/>
        <v/>
      </c>
      <c r="BB158" s="62" t="str">
        <f t="shared" si="246"/>
        <v/>
      </c>
      <c r="BC158" s="62" t="str">
        <f t="shared" si="246"/>
        <v/>
      </c>
      <c r="BD158" s="62" t="str">
        <f t="shared" si="246"/>
        <v/>
      </c>
      <c r="BE158" s="62" t="str">
        <f t="shared" si="246"/>
        <v/>
      </c>
      <c r="BF158" s="62" t="str">
        <f t="shared" si="246"/>
        <v/>
      </c>
    </row>
    <row r="159" spans="1:77" x14ac:dyDescent="0.5">
      <c r="A159" s="49"/>
      <c r="B159" s="62">
        <v>5.9999999999999103E-2</v>
      </c>
      <c r="C159" s="62" t="e">
        <f t="shared" si="229"/>
        <v>#DIV/0!</v>
      </c>
      <c r="D159" s="62" t="e">
        <f t="shared" si="230"/>
        <v>#DIV/0!</v>
      </c>
      <c r="E159" s="59">
        <f t="shared" si="231"/>
        <v>5.9999999999999103</v>
      </c>
      <c r="F159" s="59" t="e">
        <f t="shared" si="232"/>
        <v>#DIV/0!</v>
      </c>
      <c r="G159" s="59" t="e">
        <f t="shared" si="233"/>
        <v>#DIV/0!</v>
      </c>
      <c r="H159" s="62" t="e">
        <f t="shared" si="169"/>
        <v>#DIV/0!</v>
      </c>
      <c r="I159" s="62" t="e">
        <f t="shared" si="170"/>
        <v>#DIV/0!</v>
      </c>
      <c r="J159" s="62" t="e">
        <f t="shared" si="234"/>
        <v>#DIV/0!</v>
      </c>
      <c r="K159" s="62" t="e">
        <f t="shared" si="235"/>
        <v>#DIV/0!</v>
      </c>
      <c r="L159" s="62" t="e">
        <f t="shared" si="236"/>
        <v>#DIV/0!</v>
      </c>
      <c r="M159" s="62" t="e">
        <f t="shared" si="237"/>
        <v>#DIV/0!</v>
      </c>
      <c r="N159" s="62" t="e">
        <f t="shared" si="238"/>
        <v>#DIV/0!</v>
      </c>
      <c r="O159" s="17" t="e">
        <f>SLOPE(I154:I164,E154:E164)</f>
        <v>#DIV/0!</v>
      </c>
      <c r="Q159" s="62">
        <v>0.51</v>
      </c>
      <c r="R159" s="62" t="e">
        <f t="shared" si="239"/>
        <v>#DIV/0!</v>
      </c>
      <c r="S159" s="62" t="e">
        <f t="shared" si="240"/>
        <v>#DIV/0!</v>
      </c>
      <c r="T159" s="62" t="e">
        <f t="shared" si="241"/>
        <v>#DIV/0!</v>
      </c>
      <c r="U159" s="62" t="e">
        <f t="shared" si="242"/>
        <v>#DIV/0!</v>
      </c>
      <c r="V159" s="62" t="e">
        <f t="shared" si="243"/>
        <v>#DIV/0!</v>
      </c>
      <c r="W159" s="59" t="e">
        <f t="shared" si="209"/>
        <v>#DIV/0!</v>
      </c>
      <c r="X159" s="101" t="e">
        <f t="shared" si="244"/>
        <v>#DIV/0!</v>
      </c>
      <c r="Y159" s="104"/>
      <c r="AA159" s="62" t="e">
        <f t="shared" si="245"/>
        <v>#DIV/0!</v>
      </c>
      <c r="AN159" s="55"/>
      <c r="AP159" s="59" t="s">
        <v>308</v>
      </c>
      <c r="AQ159" s="62"/>
      <c r="AR159" s="62" t="str">
        <f>IF(AR$16=1,AR140,"")</f>
        <v/>
      </c>
      <c r="AS159" s="62" t="str">
        <f t="shared" ref="AS159:BF159" si="247">IF(AS$16=1,AS140,"")</f>
        <v/>
      </c>
      <c r="AT159" s="62" t="str">
        <f t="shared" si="247"/>
        <v/>
      </c>
      <c r="AU159" s="62" t="str">
        <f t="shared" si="247"/>
        <v/>
      </c>
      <c r="AV159" s="62" t="str">
        <f t="shared" si="247"/>
        <v/>
      </c>
      <c r="AW159" s="62" t="str">
        <f t="shared" si="247"/>
        <v/>
      </c>
      <c r="AX159" s="62" t="str">
        <f t="shared" si="247"/>
        <v/>
      </c>
      <c r="AY159" s="62" t="str">
        <f t="shared" si="247"/>
        <v/>
      </c>
      <c r="AZ159" s="62" t="str">
        <f t="shared" si="247"/>
        <v/>
      </c>
      <c r="BA159" s="62" t="str">
        <f t="shared" si="247"/>
        <v/>
      </c>
      <c r="BB159" s="62" t="str">
        <f t="shared" si="247"/>
        <v/>
      </c>
      <c r="BC159" s="62" t="str">
        <f t="shared" si="247"/>
        <v/>
      </c>
      <c r="BD159" s="62" t="str">
        <f t="shared" si="247"/>
        <v/>
      </c>
      <c r="BE159" s="62" t="str">
        <f t="shared" si="247"/>
        <v/>
      </c>
      <c r="BF159" s="62" t="str">
        <f t="shared" si="247"/>
        <v/>
      </c>
    </row>
    <row r="160" spans="1:77" x14ac:dyDescent="0.5">
      <c r="A160" s="49"/>
      <c r="B160" s="62">
        <v>4.9999999999998997E-2</v>
      </c>
      <c r="C160" s="62" t="e">
        <f t="shared" si="229"/>
        <v>#DIV/0!</v>
      </c>
      <c r="D160" s="62" t="e">
        <f t="shared" si="230"/>
        <v>#DIV/0!</v>
      </c>
      <c r="E160" s="59">
        <f t="shared" si="231"/>
        <v>4.9999999999998996</v>
      </c>
      <c r="F160" s="59" t="e">
        <f t="shared" si="232"/>
        <v>#DIV/0!</v>
      </c>
      <c r="G160" s="59" t="e">
        <f t="shared" si="233"/>
        <v>#DIV/0!</v>
      </c>
      <c r="H160" s="62" t="e">
        <f t="shared" si="169"/>
        <v>#DIV/0!</v>
      </c>
      <c r="I160" s="62" t="e">
        <f t="shared" si="170"/>
        <v>#DIV/0!</v>
      </c>
      <c r="J160" s="62" t="e">
        <f t="shared" si="234"/>
        <v>#DIV/0!</v>
      </c>
      <c r="K160" s="62" t="e">
        <f t="shared" si="235"/>
        <v>#DIV/0!</v>
      </c>
      <c r="L160" s="62" t="e">
        <f t="shared" si="236"/>
        <v>#DIV/0!</v>
      </c>
      <c r="M160" s="62" t="e">
        <f t="shared" si="237"/>
        <v>#DIV/0!</v>
      </c>
      <c r="N160" s="62" t="e">
        <f t="shared" si="238"/>
        <v>#DIV/0!</v>
      </c>
      <c r="O160" s="17" t="e">
        <f t="shared" si="179"/>
        <v>#DIV/0!</v>
      </c>
      <c r="Q160" s="62">
        <v>0.5</v>
      </c>
      <c r="R160" s="62" t="e">
        <f t="shared" si="239"/>
        <v>#DIV/0!</v>
      </c>
      <c r="S160" s="62" t="e">
        <f t="shared" si="240"/>
        <v>#DIV/0!</v>
      </c>
      <c r="T160" s="62" t="e">
        <f t="shared" si="241"/>
        <v>#DIV/0!</v>
      </c>
      <c r="U160" s="62" t="e">
        <f t="shared" si="242"/>
        <v>#DIV/0!</v>
      </c>
      <c r="V160" s="62" t="e">
        <f t="shared" si="243"/>
        <v>#DIV/0!</v>
      </c>
      <c r="W160" s="59" t="e">
        <f t="shared" si="209"/>
        <v>#DIV/0!</v>
      </c>
      <c r="X160" s="101" t="e">
        <f t="shared" si="244"/>
        <v>#DIV/0!</v>
      </c>
      <c r="Y160" s="104"/>
      <c r="AA160" s="62" t="e">
        <f t="shared" si="245"/>
        <v>#DIV/0!</v>
      </c>
      <c r="AN160" s="55"/>
      <c r="AP160" s="59" t="s">
        <v>69</v>
      </c>
      <c r="AQ160" s="62"/>
      <c r="AR160" s="62" t="str">
        <f>IF(AR158="","",(AR158-AR159)^2)</f>
        <v/>
      </c>
      <c r="AS160" s="62" t="str">
        <f t="shared" ref="AS160:BF160" si="248">IF(AS158="","",(AS158-AS159)^2)</f>
        <v/>
      </c>
      <c r="AT160" s="62" t="str">
        <f t="shared" si="248"/>
        <v/>
      </c>
      <c r="AU160" s="62" t="str">
        <f>IF(AU158="","",(AU158-AU159)^2)</f>
        <v/>
      </c>
      <c r="AV160" s="62" t="str">
        <f t="shared" si="248"/>
        <v/>
      </c>
      <c r="AW160" s="62" t="str">
        <f t="shared" si="248"/>
        <v/>
      </c>
      <c r="AX160" s="62" t="str">
        <f t="shared" si="248"/>
        <v/>
      </c>
      <c r="AY160" s="62" t="str">
        <f t="shared" si="248"/>
        <v/>
      </c>
      <c r="AZ160" s="62" t="str">
        <f t="shared" si="248"/>
        <v/>
      </c>
      <c r="BA160" s="62" t="str">
        <f t="shared" si="248"/>
        <v/>
      </c>
      <c r="BB160" s="62" t="str">
        <f t="shared" si="248"/>
        <v/>
      </c>
      <c r="BC160" s="62" t="str">
        <f t="shared" si="248"/>
        <v/>
      </c>
      <c r="BD160" s="62" t="str">
        <f t="shared" si="248"/>
        <v/>
      </c>
      <c r="BE160" s="62" t="str">
        <f t="shared" si="248"/>
        <v/>
      </c>
      <c r="BF160" s="62" t="str">
        <f t="shared" si="248"/>
        <v/>
      </c>
    </row>
    <row r="161" spans="1:77" x14ac:dyDescent="0.5">
      <c r="A161" s="49"/>
      <c r="B161" s="62">
        <v>3.9999999999999002E-2</v>
      </c>
      <c r="C161" s="62" t="e">
        <f t="shared" si="229"/>
        <v>#DIV/0!</v>
      </c>
      <c r="D161" s="62" t="e">
        <f t="shared" si="230"/>
        <v>#DIV/0!</v>
      </c>
      <c r="E161" s="59">
        <f t="shared" si="231"/>
        <v>3.9999999999999001</v>
      </c>
      <c r="F161" s="59" t="e">
        <f t="shared" si="232"/>
        <v>#DIV/0!</v>
      </c>
      <c r="G161" s="59" t="e">
        <f t="shared" si="233"/>
        <v>#DIV/0!</v>
      </c>
      <c r="H161" s="62" t="e">
        <f t="shared" ref="H161:H165" si="249">IF(OR($Z$64=1,$Z$64=2,$Z$64=3),$U$64*B161,IF($Z$64=4,T206,IF($Z$64=5,AI259,NA())))</f>
        <v>#DIV/0!</v>
      </c>
      <c r="I161" s="62" t="e">
        <f t="shared" ref="I161:I165" si="250">IF(OR($Z$64=1,$Z$64=2,$Z$64=3),(H161-$U$64)/$U$65,IF($Z$64=4,U206,IF($Z$64=5,AJ259,NA())))</f>
        <v>#DIV/0!</v>
      </c>
      <c r="J161" s="62" t="e">
        <f t="shared" si="234"/>
        <v>#DIV/0!</v>
      </c>
      <c r="K161" s="62" t="e">
        <f t="shared" si="235"/>
        <v>#DIV/0!</v>
      </c>
      <c r="L161" s="62" t="e">
        <f t="shared" si="236"/>
        <v>#DIV/0!</v>
      </c>
      <c r="M161" s="62" t="e">
        <f t="shared" si="237"/>
        <v>#DIV/0!</v>
      </c>
      <c r="N161" s="62" t="e">
        <f t="shared" si="238"/>
        <v>#DIV/0!</v>
      </c>
      <c r="O161" s="17" t="e">
        <f>SLOPE(I156:I165,E156:E165)</f>
        <v>#DIV/0!</v>
      </c>
      <c r="Q161" s="62">
        <v>0.49</v>
      </c>
      <c r="R161" s="62" t="e">
        <f t="shared" si="239"/>
        <v>#DIV/0!</v>
      </c>
      <c r="S161" s="62" t="e">
        <f t="shared" si="240"/>
        <v>#DIV/0!</v>
      </c>
      <c r="T161" s="62" t="e">
        <f t="shared" si="241"/>
        <v>#DIV/0!</v>
      </c>
      <c r="U161" s="62" t="e">
        <f t="shared" si="242"/>
        <v>#DIV/0!</v>
      </c>
      <c r="V161" s="62" t="e">
        <f t="shared" si="243"/>
        <v>#DIV/0!</v>
      </c>
      <c r="W161" s="59" t="e">
        <f t="shared" si="209"/>
        <v>#DIV/0!</v>
      </c>
      <c r="X161" s="101" t="e">
        <f t="shared" si="244"/>
        <v>#DIV/0!</v>
      </c>
      <c r="Y161" s="104"/>
      <c r="AA161" s="62" t="e">
        <f t="shared" si="245"/>
        <v>#DIV/0!</v>
      </c>
      <c r="AN161" s="55"/>
    </row>
    <row r="162" spans="1:77" x14ac:dyDescent="0.5">
      <c r="A162" s="49"/>
      <c r="B162" s="62">
        <v>2.9999999999999E-2</v>
      </c>
      <c r="C162" s="62" t="e">
        <f t="shared" si="229"/>
        <v>#DIV/0!</v>
      </c>
      <c r="D162" s="62" t="e">
        <f t="shared" si="230"/>
        <v>#DIV/0!</v>
      </c>
      <c r="E162" s="59">
        <f t="shared" si="231"/>
        <v>2.9999999999999001</v>
      </c>
      <c r="F162" s="59" t="e">
        <f t="shared" si="232"/>
        <v>#DIV/0!</v>
      </c>
      <c r="G162" s="59" t="e">
        <f t="shared" si="233"/>
        <v>#DIV/0!</v>
      </c>
      <c r="H162" s="62" t="e">
        <f t="shared" si="249"/>
        <v>#DIV/0!</v>
      </c>
      <c r="I162" s="62" t="e">
        <f t="shared" si="250"/>
        <v>#DIV/0!</v>
      </c>
      <c r="J162" s="62" t="e">
        <f t="shared" si="234"/>
        <v>#DIV/0!</v>
      </c>
      <c r="K162" s="62" t="e">
        <f t="shared" si="235"/>
        <v>#DIV/0!</v>
      </c>
      <c r="L162" s="62" t="e">
        <f t="shared" si="236"/>
        <v>#DIV/0!</v>
      </c>
      <c r="M162" s="62" t="e">
        <f t="shared" si="237"/>
        <v>#DIV/0!</v>
      </c>
      <c r="N162" s="62" t="e">
        <f t="shared" si="238"/>
        <v>#DIV/0!</v>
      </c>
      <c r="O162" s="17" t="e">
        <f>SLOPE(I157:I165,E157:E165)</f>
        <v>#DIV/0!</v>
      </c>
      <c r="Q162" s="62">
        <v>0.48</v>
      </c>
      <c r="R162" s="62" t="e">
        <f t="shared" si="239"/>
        <v>#DIV/0!</v>
      </c>
      <c r="S162" s="62" t="e">
        <f t="shared" si="240"/>
        <v>#DIV/0!</v>
      </c>
      <c r="T162" s="62" t="e">
        <f t="shared" si="241"/>
        <v>#DIV/0!</v>
      </c>
      <c r="U162" s="62" t="e">
        <f t="shared" si="242"/>
        <v>#DIV/0!</v>
      </c>
      <c r="V162" s="62" t="e">
        <f t="shared" si="243"/>
        <v>#DIV/0!</v>
      </c>
      <c r="W162" s="59" t="e">
        <f t="shared" si="209"/>
        <v>#DIV/0!</v>
      </c>
      <c r="X162" s="101" t="e">
        <f t="shared" si="244"/>
        <v>#DIV/0!</v>
      </c>
      <c r="Y162" s="104"/>
      <c r="AA162" s="62" t="e">
        <f t="shared" si="245"/>
        <v>#DIV/0!</v>
      </c>
      <c r="AF162" s="59" t="s">
        <v>255</v>
      </c>
      <c r="AG162" s="59" t="s">
        <v>63</v>
      </c>
      <c r="AH162" s="59" t="s">
        <v>256</v>
      </c>
      <c r="AI162" s="59" t="s">
        <v>250</v>
      </c>
      <c r="AJ162" s="59" t="s">
        <v>5</v>
      </c>
      <c r="AK162" s="59" t="s">
        <v>251</v>
      </c>
      <c r="AL162" s="59" t="s">
        <v>32</v>
      </c>
      <c r="AM162" s="59" t="s">
        <v>96</v>
      </c>
      <c r="AN162" s="55"/>
      <c r="AO162" s="17" t="s">
        <v>83</v>
      </c>
      <c r="AP162" s="53" t="s">
        <v>50</v>
      </c>
      <c r="AR162" s="52" t="s">
        <v>89</v>
      </c>
    </row>
    <row r="163" spans="1:77" x14ac:dyDescent="0.5">
      <c r="A163" s="49"/>
      <c r="B163" s="62">
        <v>1.9999999999999001E-2</v>
      </c>
      <c r="C163" s="62" t="e">
        <f t="shared" si="229"/>
        <v>#DIV/0!</v>
      </c>
      <c r="D163" s="62" t="e">
        <f t="shared" si="230"/>
        <v>#DIV/0!</v>
      </c>
      <c r="E163" s="59">
        <f t="shared" si="231"/>
        <v>1.9999999999999001</v>
      </c>
      <c r="F163" s="59" t="e">
        <f t="shared" si="232"/>
        <v>#DIV/0!</v>
      </c>
      <c r="G163" s="59" t="e">
        <f t="shared" si="233"/>
        <v>#DIV/0!</v>
      </c>
      <c r="H163" s="62" t="e">
        <f t="shared" si="249"/>
        <v>#DIV/0!</v>
      </c>
      <c r="I163" s="62" t="e">
        <f t="shared" si="250"/>
        <v>#DIV/0!</v>
      </c>
      <c r="J163" s="62" t="e">
        <f t="shared" si="234"/>
        <v>#DIV/0!</v>
      </c>
      <c r="K163" s="62" t="e">
        <f t="shared" si="235"/>
        <v>#DIV/0!</v>
      </c>
      <c r="L163" s="62" t="e">
        <f t="shared" si="236"/>
        <v>#DIV/0!</v>
      </c>
      <c r="M163" s="62" t="e">
        <f t="shared" si="237"/>
        <v>#DIV/0!</v>
      </c>
      <c r="N163" s="62" t="e">
        <f t="shared" si="238"/>
        <v>#DIV/0!</v>
      </c>
      <c r="O163" s="17" t="e">
        <f>SLOPE(I158:I165,E158:E165)</f>
        <v>#DIV/0!</v>
      </c>
      <c r="Q163" s="62">
        <v>0.47</v>
      </c>
      <c r="R163" s="62" t="e">
        <f t="shared" si="239"/>
        <v>#DIV/0!</v>
      </c>
      <c r="S163" s="62" t="e">
        <f t="shared" si="240"/>
        <v>#DIV/0!</v>
      </c>
      <c r="T163" s="62" t="e">
        <f t="shared" si="241"/>
        <v>#DIV/0!</v>
      </c>
      <c r="U163" s="62" t="e">
        <f t="shared" si="242"/>
        <v>#DIV/0!</v>
      </c>
      <c r="V163" s="62" t="e">
        <f t="shared" si="243"/>
        <v>#DIV/0!</v>
      </c>
      <c r="W163" s="59" t="e">
        <f t="shared" si="209"/>
        <v>#DIV/0!</v>
      </c>
      <c r="X163" s="101" t="e">
        <f t="shared" si="244"/>
        <v>#DIV/0!</v>
      </c>
      <c r="Y163" s="104"/>
      <c r="AA163" s="62" t="e">
        <f t="shared" si="245"/>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1">AI163*AJ163</f>
        <v>#DIV/0!</v>
      </c>
      <c r="AL163" s="59" t="e">
        <f>ROUND(SLOPE(AI163:AI167,AJ163:AJ167),0)</f>
        <v>#DIV/0!</v>
      </c>
      <c r="AM163" s="100"/>
      <c r="AN163" s="55"/>
      <c r="AP163" s="59" t="s">
        <v>90</v>
      </c>
      <c r="AQ163" s="59"/>
      <c r="AR163" s="63" t="str">
        <f>IF(AR111="","",AR111-AR136)</f>
        <v/>
      </c>
      <c r="AS163" s="63" t="str">
        <f>IF(AS111="","",AS111-AS136)</f>
        <v/>
      </c>
      <c r="AT163" s="63" t="str">
        <f t="shared" ref="AT163:BF163" si="252">IF(AT111="","",AT111-AT136)</f>
        <v/>
      </c>
      <c r="AU163" s="63" t="str">
        <f t="shared" si="252"/>
        <v/>
      </c>
      <c r="AV163" s="63" t="str">
        <f t="shared" si="252"/>
        <v/>
      </c>
      <c r="AW163" s="63" t="str">
        <f t="shared" si="252"/>
        <v/>
      </c>
      <c r="AX163" s="63" t="str">
        <f t="shared" si="252"/>
        <v/>
      </c>
      <c r="AY163" s="63" t="str">
        <f t="shared" si="252"/>
        <v/>
      </c>
      <c r="AZ163" s="63" t="str">
        <f t="shared" si="252"/>
        <v/>
      </c>
      <c r="BA163" s="63" t="str">
        <f t="shared" si="252"/>
        <v/>
      </c>
      <c r="BB163" s="63" t="str">
        <f t="shared" si="252"/>
        <v/>
      </c>
      <c r="BC163" s="63" t="str">
        <f t="shared" si="252"/>
        <v/>
      </c>
      <c r="BD163" s="63" t="str">
        <f t="shared" si="252"/>
        <v/>
      </c>
      <c r="BE163" s="63" t="str">
        <f t="shared" si="252"/>
        <v/>
      </c>
      <c r="BF163" s="63" t="str">
        <f t="shared" si="252"/>
        <v/>
      </c>
    </row>
    <row r="164" spans="1:77" x14ac:dyDescent="0.5">
      <c r="A164" s="49"/>
      <c r="B164" s="62">
        <v>9.9999999999990097E-3</v>
      </c>
      <c r="C164" s="62" t="e">
        <f t="shared" si="229"/>
        <v>#DIV/0!</v>
      </c>
      <c r="D164" s="62" t="e">
        <f t="shared" si="230"/>
        <v>#DIV/0!</v>
      </c>
      <c r="E164" s="59">
        <f t="shared" si="231"/>
        <v>0.99999999999990097</v>
      </c>
      <c r="F164" s="59" t="e">
        <f t="shared" si="232"/>
        <v>#DIV/0!</v>
      </c>
      <c r="G164" s="59" t="e">
        <f t="shared" si="233"/>
        <v>#DIV/0!</v>
      </c>
      <c r="H164" s="62" t="e">
        <f t="shared" si="249"/>
        <v>#DIV/0!</v>
      </c>
      <c r="I164" s="62" t="e">
        <f t="shared" si="250"/>
        <v>#DIV/0!</v>
      </c>
      <c r="J164" s="62" t="e">
        <f t="shared" si="234"/>
        <v>#DIV/0!</v>
      </c>
      <c r="K164" s="62" t="e">
        <f t="shared" si="235"/>
        <v>#DIV/0!</v>
      </c>
      <c r="L164" s="62" t="e">
        <f t="shared" si="236"/>
        <v>#DIV/0!</v>
      </c>
      <c r="M164" s="62" t="e">
        <f t="shared" si="237"/>
        <v>#DIV/0!</v>
      </c>
      <c r="N164" s="62" t="e">
        <f t="shared" si="238"/>
        <v>#DIV/0!</v>
      </c>
      <c r="O164" s="17" t="e">
        <f>SLOPE(I159:I165,E159:E165)</f>
        <v>#DIV/0!</v>
      </c>
      <c r="Q164" s="62">
        <v>0.46</v>
      </c>
      <c r="R164" s="62" t="e">
        <f t="shared" si="239"/>
        <v>#DIV/0!</v>
      </c>
      <c r="S164" s="62" t="e">
        <f t="shared" si="240"/>
        <v>#DIV/0!</v>
      </c>
      <c r="T164" s="62" t="e">
        <f t="shared" si="241"/>
        <v>#DIV/0!</v>
      </c>
      <c r="U164" s="62" t="e">
        <f t="shared" si="242"/>
        <v>#DIV/0!</v>
      </c>
      <c r="V164" s="62" t="e">
        <f t="shared" si="243"/>
        <v>#DIV/0!</v>
      </c>
      <c r="W164" s="59" t="e">
        <f t="shared" si="209"/>
        <v>#DIV/0!</v>
      </c>
      <c r="X164" s="101" t="e">
        <f t="shared" si="244"/>
        <v>#DIV/0!</v>
      </c>
      <c r="Y164" s="104"/>
      <c r="AA164" s="62" t="e">
        <f t="shared" si="245"/>
        <v>#DIV/0!</v>
      </c>
      <c r="AF164" s="62">
        <v>0.99</v>
      </c>
      <c r="AG164" s="62" t="e">
        <f t="shared" ref="AG164:AG227" si="253">AJ164/$AT$183</f>
        <v>#DIV/0!</v>
      </c>
      <c r="AH164" s="62" t="e">
        <f t="shared" ref="AH164:AH227" si="254">AK164/$AT$184</f>
        <v>#DIV/0!</v>
      </c>
      <c r="AI164" s="62" t="e">
        <f t="shared" ref="AI164:AI168" si="255">$AT$178*AF164</f>
        <v>#DIV/0!</v>
      </c>
      <c r="AJ164" s="62" t="e">
        <f t="shared" ref="AJ164:AJ168" si="256">(1/(1+EXP($AT$181-AI164/$AT$178)^$AT$180))*((AI164-$AT$178)/$AT$179)+(1/(1+EXP(AI164/$AT$178-$AT$181)^$AT$180))*((($AT$175-AI164)*$AT$177)/(AI164+$AT$176))</f>
        <v>#DIV/0!</v>
      </c>
      <c r="AK164" s="62" t="e">
        <f t="shared" si="251"/>
        <v>#DIV/0!</v>
      </c>
      <c r="AL164" s="59" t="e">
        <f>ROUND(SLOPE(AI163:AI168,AJ163:AJ168),0)</f>
        <v>#DIV/0!</v>
      </c>
      <c r="AM164" s="101" t="e">
        <f>ROUND(((AL163-AL164)/AL163),4)</f>
        <v>#DIV/0!</v>
      </c>
      <c r="AN164" s="55"/>
      <c r="AP164" s="59" t="s">
        <v>48</v>
      </c>
      <c r="AQ164" s="59"/>
      <c r="AR164" s="63" t="str">
        <f>IF(AR163="","",ABS(AR163))</f>
        <v/>
      </c>
      <c r="AS164" s="63" t="str">
        <f t="shared" ref="AS164:AZ164" si="257">IF(AS163="","",ABS(AS163))</f>
        <v/>
      </c>
      <c r="AT164" s="63" t="str">
        <f t="shared" si="257"/>
        <v/>
      </c>
      <c r="AU164" s="63" t="str">
        <f t="shared" si="257"/>
        <v/>
      </c>
      <c r="AV164" s="63" t="str">
        <f t="shared" si="257"/>
        <v/>
      </c>
      <c r="AW164" s="63" t="str">
        <f t="shared" si="257"/>
        <v/>
      </c>
      <c r="AX164" s="63" t="str">
        <f t="shared" si="257"/>
        <v/>
      </c>
      <c r="AY164" s="63" t="str">
        <f t="shared" si="257"/>
        <v/>
      </c>
      <c r="AZ164" s="63" t="str">
        <f t="shared" si="257"/>
        <v/>
      </c>
      <c r="BA164" s="63" t="str">
        <f t="shared" ref="BA164:BF164" si="258">IF(BA163="","",ABS(BA163))</f>
        <v/>
      </c>
      <c r="BB164" s="63" t="str">
        <f t="shared" si="258"/>
        <v/>
      </c>
      <c r="BC164" s="63" t="str">
        <f t="shared" si="258"/>
        <v/>
      </c>
      <c r="BD164" s="63" t="str">
        <f t="shared" si="258"/>
        <v/>
      </c>
      <c r="BE164" s="63" t="str">
        <f t="shared" si="258"/>
        <v/>
      </c>
      <c r="BF164" s="63" t="str">
        <f t="shared" si="258"/>
        <v/>
      </c>
    </row>
    <row r="165" spans="1:77" x14ac:dyDescent="0.5">
      <c r="A165" s="49"/>
      <c r="B165" s="62">
        <v>0</v>
      </c>
      <c r="C165" s="62" t="e">
        <f t="shared" si="229"/>
        <v>#DIV/0!</v>
      </c>
      <c r="D165" s="62" t="e">
        <f t="shared" si="230"/>
        <v>#DIV/0!</v>
      </c>
      <c r="E165" s="59">
        <f t="shared" si="231"/>
        <v>0</v>
      </c>
      <c r="F165" s="59" t="e">
        <f t="shared" si="232"/>
        <v>#DIV/0!</v>
      </c>
      <c r="G165" s="59" t="e">
        <f t="shared" si="233"/>
        <v>#DIV/0!</v>
      </c>
      <c r="H165" s="62" t="e">
        <f t="shared" si="249"/>
        <v>#DIV/0!</v>
      </c>
      <c r="I165" s="62" t="e">
        <f t="shared" si="250"/>
        <v>#DIV/0!</v>
      </c>
      <c r="J165" s="62" t="e">
        <f t="shared" si="234"/>
        <v>#DIV/0!</v>
      </c>
      <c r="K165" s="62" t="e">
        <f t="shared" si="235"/>
        <v>#DIV/0!</v>
      </c>
      <c r="L165" s="62" t="e">
        <f t="shared" si="236"/>
        <v>#DIV/0!</v>
      </c>
      <c r="M165" s="62" t="e">
        <f t="shared" si="237"/>
        <v>#DIV/0!</v>
      </c>
      <c r="N165" s="62" t="e">
        <f t="shared" si="238"/>
        <v>#DIV/0!</v>
      </c>
      <c r="O165" s="17" t="e">
        <f>SLOPE(I160:I165,E160:E165)</f>
        <v>#DIV/0!</v>
      </c>
      <c r="Q165" s="62">
        <v>0.45</v>
      </c>
      <c r="R165" s="62" t="e">
        <f t="shared" si="239"/>
        <v>#DIV/0!</v>
      </c>
      <c r="S165" s="62" t="e">
        <f t="shared" si="240"/>
        <v>#DIV/0!</v>
      </c>
      <c r="T165" s="62" t="e">
        <f t="shared" si="241"/>
        <v>#DIV/0!</v>
      </c>
      <c r="U165" s="62" t="e">
        <f t="shared" si="242"/>
        <v>#DIV/0!</v>
      </c>
      <c r="V165" s="62" t="e">
        <f t="shared" si="243"/>
        <v>#DIV/0!</v>
      </c>
      <c r="W165" s="59" t="e">
        <f t="shared" si="209"/>
        <v>#DIV/0!</v>
      </c>
      <c r="X165" s="101" t="e">
        <f t="shared" si="244"/>
        <v>#DIV/0!</v>
      </c>
      <c r="Y165" s="104"/>
      <c r="AA165" s="62" t="e">
        <f t="shared" si="245"/>
        <v>#DIV/0!</v>
      </c>
      <c r="AF165" s="62">
        <v>0.98</v>
      </c>
      <c r="AG165" s="62" t="e">
        <f t="shared" si="253"/>
        <v>#DIV/0!</v>
      </c>
      <c r="AH165" s="62" t="e">
        <f t="shared" si="254"/>
        <v>#DIV/0!</v>
      </c>
      <c r="AI165" s="62" t="e">
        <f t="shared" si="255"/>
        <v>#DIV/0!</v>
      </c>
      <c r="AJ165" s="62" t="e">
        <f t="shared" si="256"/>
        <v>#DIV/0!</v>
      </c>
      <c r="AK165" s="62" t="e">
        <f t="shared" si="251"/>
        <v>#DIV/0!</v>
      </c>
      <c r="AL165" s="59" t="e">
        <f>ROUND(SLOPE(AI163:AI169,AJ163:AJ169),0)</f>
        <v>#DIV/0!</v>
      </c>
      <c r="AM165" s="101" t="e">
        <f t="shared" ref="AM165:AM228" si="259">ROUND(((AL164-AL165)/AL164),4)</f>
        <v>#DIV/0!</v>
      </c>
      <c r="AN165" s="55"/>
      <c r="AP165" s="59" t="s">
        <v>119</v>
      </c>
      <c r="AQ165" s="59"/>
      <c r="AR165" s="63" t="str">
        <f t="shared" ref="AR165:AZ165" si="260">IF(AR163="","",IF(AR163&lt;-$AP$4,0,1))</f>
        <v/>
      </c>
      <c r="AS165" s="63" t="str">
        <f t="shared" si="260"/>
        <v/>
      </c>
      <c r="AT165" s="63" t="str">
        <f t="shared" si="260"/>
        <v/>
      </c>
      <c r="AU165" s="63" t="str">
        <f t="shared" si="260"/>
        <v/>
      </c>
      <c r="AV165" s="63" t="str">
        <f t="shared" si="260"/>
        <v/>
      </c>
      <c r="AW165" s="63" t="str">
        <f t="shared" si="260"/>
        <v/>
      </c>
      <c r="AX165" s="63" t="str">
        <f t="shared" si="260"/>
        <v/>
      </c>
      <c r="AY165" s="63" t="str">
        <f t="shared" si="260"/>
        <v/>
      </c>
      <c r="AZ165" s="63" t="str">
        <f t="shared" si="260"/>
        <v/>
      </c>
      <c r="BA165" s="63" t="str">
        <f t="shared" ref="BA165:BF165" si="261">IF(BA163="","",IF(BA163&lt;-$AP$4,0,1))</f>
        <v/>
      </c>
      <c r="BB165" s="63" t="str">
        <f t="shared" si="261"/>
        <v/>
      </c>
      <c r="BC165" s="63" t="str">
        <f t="shared" si="261"/>
        <v/>
      </c>
      <c r="BD165" s="63" t="str">
        <f t="shared" si="261"/>
        <v/>
      </c>
      <c r="BE165" s="63" t="str">
        <f t="shared" si="261"/>
        <v/>
      </c>
      <c r="BF165" s="63" t="str">
        <f t="shared" si="261"/>
        <v/>
      </c>
    </row>
    <row r="166" spans="1:77" x14ac:dyDescent="0.5">
      <c r="A166" s="49"/>
      <c r="O166" s="17"/>
      <c r="Q166" s="62">
        <v>0.44</v>
      </c>
      <c r="R166" s="62" t="e">
        <f t="shared" si="239"/>
        <v>#DIV/0!</v>
      </c>
      <c r="S166" s="62" t="e">
        <f t="shared" si="240"/>
        <v>#DIV/0!</v>
      </c>
      <c r="T166" s="62" t="e">
        <f t="shared" si="241"/>
        <v>#DIV/0!</v>
      </c>
      <c r="U166" s="62" t="e">
        <f t="shared" si="242"/>
        <v>#DIV/0!</v>
      </c>
      <c r="V166" s="62" t="e">
        <f t="shared" si="243"/>
        <v>#DIV/0!</v>
      </c>
      <c r="W166" s="59" t="e">
        <f t="shared" si="209"/>
        <v>#DIV/0!</v>
      </c>
      <c r="X166" s="101" t="e">
        <f t="shared" si="244"/>
        <v>#DIV/0!</v>
      </c>
      <c r="Y166" s="104"/>
      <c r="AA166" s="62" t="e">
        <f t="shared" si="245"/>
        <v>#DIV/0!</v>
      </c>
      <c r="AF166" s="62">
        <v>0.97</v>
      </c>
      <c r="AG166" s="62" t="e">
        <f t="shared" si="253"/>
        <v>#DIV/0!</v>
      </c>
      <c r="AH166" s="62" t="e">
        <f t="shared" si="254"/>
        <v>#DIV/0!</v>
      </c>
      <c r="AI166" s="62" t="e">
        <f t="shared" si="255"/>
        <v>#DIV/0!</v>
      </c>
      <c r="AJ166" s="62" t="e">
        <f t="shared" si="256"/>
        <v>#DIV/0!</v>
      </c>
      <c r="AK166" s="62" t="e">
        <f t="shared" si="251"/>
        <v>#DIV/0!</v>
      </c>
      <c r="AL166" s="59" t="e">
        <f>ROUND(SLOPE(AI163:AI170,AJ163:AJ170),0)</f>
        <v>#DIV/0!</v>
      </c>
      <c r="AM166" s="101" t="e">
        <f t="shared" si="259"/>
        <v>#DIV/0!</v>
      </c>
      <c r="AN166" s="55"/>
      <c r="AP166" s="59" t="s">
        <v>30</v>
      </c>
      <c r="AQ166" s="59"/>
      <c r="AR166" s="63" t="str">
        <f>IF(AR13=0,"",MIN(AR16,AR165))</f>
        <v/>
      </c>
      <c r="AS166" s="63" t="str">
        <f>IF(AS13=0,"",MIN(AS16,AS165))</f>
        <v/>
      </c>
      <c r="AT166" s="63" t="str">
        <f t="shared" ref="AT166:AZ166" si="262">IF(AT13=0,"",MIN(AT16,AT165))</f>
        <v/>
      </c>
      <c r="AU166" s="63" t="str">
        <f t="shared" si="262"/>
        <v/>
      </c>
      <c r="AV166" s="63" t="str">
        <f t="shared" si="262"/>
        <v/>
      </c>
      <c r="AW166" s="63" t="str">
        <f t="shared" si="262"/>
        <v/>
      </c>
      <c r="AX166" s="63" t="str">
        <f t="shared" si="262"/>
        <v/>
      </c>
      <c r="AY166" s="63" t="str">
        <f t="shared" si="262"/>
        <v/>
      </c>
      <c r="AZ166" s="63" t="str">
        <f t="shared" si="262"/>
        <v/>
      </c>
      <c r="BA166" s="63" t="str">
        <f t="shared" ref="BA166:BF166" si="263">IF(BA13=0,"",MIN(BA16,BA165))</f>
        <v/>
      </c>
      <c r="BB166" s="63" t="str">
        <f t="shared" si="263"/>
        <v/>
      </c>
      <c r="BC166" s="63" t="str">
        <f t="shared" si="263"/>
        <v/>
      </c>
      <c r="BD166" s="63" t="str">
        <f t="shared" si="263"/>
        <v/>
      </c>
      <c r="BE166" s="63" t="str">
        <f t="shared" si="263"/>
        <v/>
      </c>
      <c r="BF166" s="63" t="str">
        <f t="shared" si="263"/>
        <v/>
      </c>
    </row>
    <row r="167" spans="1:77" x14ac:dyDescent="0.5">
      <c r="A167" s="49"/>
      <c r="O167" s="17"/>
      <c r="Q167" s="62">
        <v>0.42999999999999899</v>
      </c>
      <c r="R167" s="62" t="e">
        <f t="shared" si="239"/>
        <v>#DIV/0!</v>
      </c>
      <c r="S167" s="62" t="e">
        <f t="shared" si="240"/>
        <v>#DIV/0!</v>
      </c>
      <c r="T167" s="62" t="e">
        <f t="shared" si="241"/>
        <v>#DIV/0!</v>
      </c>
      <c r="U167" s="62" t="e">
        <f t="shared" si="242"/>
        <v>#DIV/0!</v>
      </c>
      <c r="V167" s="62" t="e">
        <f t="shared" si="243"/>
        <v>#DIV/0!</v>
      </c>
      <c r="W167" s="59" t="e">
        <f t="shared" si="209"/>
        <v>#DIV/0!</v>
      </c>
      <c r="X167" s="101" t="e">
        <f t="shared" si="244"/>
        <v>#DIV/0!</v>
      </c>
      <c r="Y167" s="104"/>
      <c r="AA167" s="62" t="e">
        <f t="shared" si="245"/>
        <v>#DIV/0!</v>
      </c>
      <c r="AF167" s="62">
        <v>0.96</v>
      </c>
      <c r="AG167" s="62" t="e">
        <f t="shared" si="253"/>
        <v>#DIV/0!</v>
      </c>
      <c r="AH167" s="62" t="e">
        <f t="shared" si="254"/>
        <v>#DIV/0!</v>
      </c>
      <c r="AI167" s="62" t="e">
        <f t="shared" si="255"/>
        <v>#DIV/0!</v>
      </c>
      <c r="AJ167" s="62" t="e">
        <f t="shared" si="256"/>
        <v>#DIV/0!</v>
      </c>
      <c r="AK167" s="62" t="e">
        <f t="shared" si="251"/>
        <v>#DIV/0!</v>
      </c>
      <c r="AL167" s="59" t="e">
        <f>ROUND(SLOPE(AI163:AI171,AJ163:AJ171),0)</f>
        <v>#DIV/0!</v>
      </c>
      <c r="AM167" s="101" t="e">
        <f t="shared" si="259"/>
        <v>#DIV/0!</v>
      </c>
      <c r="AN167" s="55"/>
    </row>
    <row r="168" spans="1:77" x14ac:dyDescent="0.5">
      <c r="A168" s="49"/>
      <c r="O168" s="17"/>
      <c r="Q168" s="62">
        <v>0.41999999999999899</v>
      </c>
      <c r="R168" s="62" t="e">
        <f t="shared" si="239"/>
        <v>#DIV/0!</v>
      </c>
      <c r="S168" s="62" t="e">
        <f t="shared" si="240"/>
        <v>#DIV/0!</v>
      </c>
      <c r="T168" s="62" t="e">
        <f t="shared" si="241"/>
        <v>#DIV/0!</v>
      </c>
      <c r="U168" s="62" t="e">
        <f t="shared" si="242"/>
        <v>#DIV/0!</v>
      </c>
      <c r="V168" s="62" t="e">
        <f t="shared" si="243"/>
        <v>#DIV/0!</v>
      </c>
      <c r="W168" s="59" t="e">
        <f t="shared" si="209"/>
        <v>#DIV/0!</v>
      </c>
      <c r="X168" s="101" t="e">
        <f t="shared" si="244"/>
        <v>#DIV/0!</v>
      </c>
      <c r="Y168" s="104"/>
      <c r="AA168" s="62" t="e">
        <f t="shared" si="245"/>
        <v>#DIV/0!</v>
      </c>
      <c r="AF168" s="62">
        <v>0.95</v>
      </c>
      <c r="AG168" s="62" t="e">
        <f t="shared" si="253"/>
        <v>#DIV/0!</v>
      </c>
      <c r="AH168" s="62" t="e">
        <f t="shared" si="254"/>
        <v>#DIV/0!</v>
      </c>
      <c r="AI168" s="62" t="e">
        <f t="shared" si="255"/>
        <v>#DIV/0!</v>
      </c>
      <c r="AJ168" s="62" t="e">
        <f t="shared" si="256"/>
        <v>#DIV/0!</v>
      </c>
      <c r="AK168" s="62" t="e">
        <f t="shared" si="251"/>
        <v>#DIV/0!</v>
      </c>
      <c r="AL168" s="59" t="e">
        <f>ROUND(SLOPE(AI164:AI172,AJ164:AJ172),0)</f>
        <v>#DIV/0!</v>
      </c>
      <c r="AM168" s="101" t="e">
        <f t="shared" si="259"/>
        <v>#DIV/0!</v>
      </c>
      <c r="AN168" s="55"/>
      <c r="AP168" s="53" t="s">
        <v>52</v>
      </c>
      <c r="BI168" s="53" t="s">
        <v>52</v>
      </c>
    </row>
    <row r="169" spans="1:77" x14ac:dyDescent="0.5">
      <c r="A169" s="49"/>
      <c r="O169" s="17"/>
      <c r="Q169" s="62">
        <v>0.40999999999999898</v>
      </c>
      <c r="R169" s="62" t="e">
        <f t="shared" si="239"/>
        <v>#DIV/0!</v>
      </c>
      <c r="S169" s="62" t="e">
        <f t="shared" si="240"/>
        <v>#DIV/0!</v>
      </c>
      <c r="T169" s="62" t="e">
        <f t="shared" si="241"/>
        <v>#DIV/0!</v>
      </c>
      <c r="U169" s="62" t="e">
        <f t="shared" si="242"/>
        <v>#DIV/0!</v>
      </c>
      <c r="V169" s="62" t="e">
        <f t="shared" si="243"/>
        <v>#DIV/0!</v>
      </c>
      <c r="W169" s="59" t="e">
        <f t="shared" si="209"/>
        <v>#DIV/0!</v>
      </c>
      <c r="X169" s="101" t="e">
        <f t="shared" si="244"/>
        <v>#DIV/0!</v>
      </c>
      <c r="Y169" s="104"/>
      <c r="AA169" s="62" t="e">
        <f t="shared" si="245"/>
        <v>#DIV/0!</v>
      </c>
      <c r="AF169" s="62">
        <v>0.94</v>
      </c>
      <c r="AG169" s="62" t="e">
        <f t="shared" si="253"/>
        <v>#DIV/0!</v>
      </c>
      <c r="AH169" s="62" t="e">
        <f t="shared" si="254"/>
        <v>#DIV/0!</v>
      </c>
      <c r="AI169" s="62" t="e">
        <f>$AT$178*AF169</f>
        <v>#DIV/0!</v>
      </c>
      <c r="AJ169" s="62" t="e">
        <f>(1/(1+EXP($AT$181-AI169/$AT$178)^$AT$180))*((AI169-$AT$178)/$AT$179)+(1/(1+EXP(AI169/$AT$178-$AT$181)^$AT$180))*((($AT$175-AI169)*$AT$177)/(AI169+$AT$176))</f>
        <v>#DIV/0!</v>
      </c>
      <c r="AK169" s="62" t="e">
        <f t="shared" si="251"/>
        <v>#DIV/0!</v>
      </c>
      <c r="AL169" s="59" t="e">
        <f t="shared" ref="AL169:AL232" si="264">ROUND(SLOPE(AI165:AI173,AJ165:AJ173),0)</f>
        <v>#DIV/0!</v>
      </c>
      <c r="AM169" s="101" t="e">
        <f t="shared" si="259"/>
        <v>#DIV/0!</v>
      </c>
      <c r="AN169" s="55"/>
      <c r="AP169" s="59" t="s">
        <v>250</v>
      </c>
      <c r="AQ169" s="59"/>
      <c r="AR169" s="63" t="str">
        <f t="shared" ref="AR169:AS171" si="265">IF(AR$166=1,AR110,"")</f>
        <v/>
      </c>
      <c r="AS169" s="63" t="str">
        <f t="shared" si="265"/>
        <v/>
      </c>
      <c r="AT169" s="63" t="str">
        <f t="shared" ref="AT169:AZ169" si="266">IF(AT$166=1,AT110,"")</f>
        <v/>
      </c>
      <c r="AU169" s="63" t="str">
        <f t="shared" si="266"/>
        <v/>
      </c>
      <c r="AV169" s="63" t="str">
        <f t="shared" si="266"/>
        <v/>
      </c>
      <c r="AW169" s="63" t="str">
        <f t="shared" si="266"/>
        <v/>
      </c>
      <c r="AX169" s="63" t="str">
        <f t="shared" si="266"/>
        <v/>
      </c>
      <c r="AY169" s="63" t="str">
        <f t="shared" si="266"/>
        <v/>
      </c>
      <c r="AZ169" s="63" t="str">
        <f t="shared" si="266"/>
        <v/>
      </c>
      <c r="BA169" s="63" t="str">
        <f t="shared" ref="BA169:BF169" si="267">IF(BA$166=1,BA110,"")</f>
        <v/>
      </c>
      <c r="BB169" s="63" t="str">
        <f t="shared" si="267"/>
        <v/>
      </c>
      <c r="BC169" s="63" t="str">
        <f t="shared" si="267"/>
        <v/>
      </c>
      <c r="BD169" s="63" t="str">
        <f t="shared" si="267"/>
        <v/>
      </c>
      <c r="BE169" s="63" t="str">
        <f t="shared" si="267"/>
        <v/>
      </c>
      <c r="BF169" s="63" t="str">
        <f t="shared" si="267"/>
        <v/>
      </c>
      <c r="BI169" s="59" t="s">
        <v>250</v>
      </c>
      <c r="BJ169" s="59"/>
      <c r="BK169" s="62" t="e">
        <f>IF(AR$166=1,AR169,NA())</f>
        <v>#N/A</v>
      </c>
      <c r="BL169" s="62" t="e">
        <f t="shared" ref="BL169:BY171" si="268">IF(AS$166=1,AS169,NA())</f>
        <v>#N/A</v>
      </c>
      <c r="BM169" s="62" t="e">
        <f t="shared" si="268"/>
        <v>#N/A</v>
      </c>
      <c r="BN169" s="62" t="e">
        <f t="shared" si="268"/>
        <v>#N/A</v>
      </c>
      <c r="BO169" s="62" t="e">
        <f t="shared" si="268"/>
        <v>#N/A</v>
      </c>
      <c r="BP169" s="62" t="e">
        <f t="shared" si="268"/>
        <v>#N/A</v>
      </c>
      <c r="BQ169" s="62" t="e">
        <f t="shared" si="268"/>
        <v>#N/A</v>
      </c>
      <c r="BR169" s="62" t="e">
        <f t="shared" si="268"/>
        <v>#N/A</v>
      </c>
      <c r="BS169" s="62" t="e">
        <f t="shared" si="268"/>
        <v>#N/A</v>
      </c>
      <c r="BT169" s="62" t="e">
        <f t="shared" si="268"/>
        <v>#N/A</v>
      </c>
      <c r="BU169" s="62" t="e">
        <f t="shared" si="268"/>
        <v>#N/A</v>
      </c>
      <c r="BV169" s="62" t="e">
        <f t="shared" si="268"/>
        <v>#N/A</v>
      </c>
      <c r="BW169" s="62" t="e">
        <f t="shared" si="268"/>
        <v>#N/A</v>
      </c>
      <c r="BX169" s="62" t="e">
        <f t="shared" si="268"/>
        <v>#N/A</v>
      </c>
      <c r="BY169" s="62" t="e">
        <f t="shared" si="268"/>
        <v>#N/A</v>
      </c>
    </row>
    <row r="170" spans="1:77" x14ac:dyDescent="0.5">
      <c r="O170" s="17"/>
      <c r="Q170" s="62">
        <v>0.39999999999999902</v>
      </c>
      <c r="R170" s="62" t="e">
        <f t="shared" si="239"/>
        <v>#DIV/0!</v>
      </c>
      <c r="S170" s="62" t="e">
        <f t="shared" si="240"/>
        <v>#DIV/0!</v>
      </c>
      <c r="T170" s="62" t="e">
        <f t="shared" si="241"/>
        <v>#DIV/0!</v>
      </c>
      <c r="U170" s="62" t="e">
        <f t="shared" si="242"/>
        <v>#DIV/0!</v>
      </c>
      <c r="V170" s="62" t="e">
        <f t="shared" si="243"/>
        <v>#DIV/0!</v>
      </c>
      <c r="W170" s="59" t="e">
        <f t="shared" si="209"/>
        <v>#DIV/0!</v>
      </c>
      <c r="X170" s="101" t="e">
        <f t="shared" si="244"/>
        <v>#DIV/0!</v>
      </c>
      <c r="Y170" s="104"/>
      <c r="AA170" s="62" t="e">
        <f t="shared" si="245"/>
        <v>#DIV/0!</v>
      </c>
      <c r="AF170" s="62">
        <v>0.93</v>
      </c>
      <c r="AG170" s="62" t="e">
        <f t="shared" si="253"/>
        <v>#DIV/0!</v>
      </c>
      <c r="AH170" s="62" t="e">
        <f t="shared" si="254"/>
        <v>#DIV/0!</v>
      </c>
      <c r="AI170" s="62" t="e">
        <f t="shared" ref="AI170:AI233" si="269">$AT$178*AF170</f>
        <v>#DIV/0!</v>
      </c>
      <c r="AJ170" s="62" t="e">
        <f t="shared" ref="AJ170:AJ233" si="270">(1/(1+EXP($AT$181-AI170/$AT$178)^$AT$180))*((AI170-$AT$178)/$AT$179)+(1/(1+EXP(AI170/$AT$178-$AT$181)^$AT$180))*((($AT$175-AI170)*$AT$177)/(AI170+$AT$176))</f>
        <v>#DIV/0!</v>
      </c>
      <c r="AK170" s="62" t="e">
        <f t="shared" si="251"/>
        <v>#DIV/0!</v>
      </c>
      <c r="AL170" s="59" t="e">
        <f t="shared" si="264"/>
        <v>#DIV/0!</v>
      </c>
      <c r="AM170" s="101" t="e">
        <f t="shared" si="259"/>
        <v>#DIV/0!</v>
      </c>
      <c r="AN170" s="55"/>
      <c r="AP170" s="59" t="s">
        <v>5</v>
      </c>
      <c r="AQ170" s="59"/>
      <c r="AR170" s="63" t="str">
        <f t="shared" si="265"/>
        <v/>
      </c>
      <c r="AS170" s="63" t="str">
        <f t="shared" si="265"/>
        <v/>
      </c>
      <c r="AT170" s="63" t="str">
        <f t="shared" ref="AT170:AZ171" si="271">IF(AT$166=1,AT111,"")</f>
        <v/>
      </c>
      <c r="AU170" s="63" t="str">
        <f t="shared" si="271"/>
        <v/>
      </c>
      <c r="AV170" s="63" t="str">
        <f t="shared" si="271"/>
        <v/>
      </c>
      <c r="AW170" s="63" t="str">
        <f t="shared" si="271"/>
        <v/>
      </c>
      <c r="AX170" s="63" t="str">
        <f t="shared" si="271"/>
        <v/>
      </c>
      <c r="AY170" s="63" t="str">
        <f t="shared" si="271"/>
        <v/>
      </c>
      <c r="AZ170" s="63" t="str">
        <f t="shared" si="271"/>
        <v/>
      </c>
      <c r="BA170" s="63" t="str">
        <f t="shared" ref="BA170:BF170" si="272">IF(BA$166=1,BA111,"")</f>
        <v/>
      </c>
      <c r="BB170" s="63" t="str">
        <f t="shared" si="272"/>
        <v/>
      </c>
      <c r="BC170" s="63" t="str">
        <f t="shared" si="272"/>
        <v/>
      </c>
      <c r="BD170" s="63" t="str">
        <f t="shared" si="272"/>
        <v/>
      </c>
      <c r="BE170" s="63" t="str">
        <f t="shared" si="272"/>
        <v/>
      </c>
      <c r="BF170" s="63" t="str">
        <f t="shared" si="272"/>
        <v/>
      </c>
      <c r="BI170" s="59" t="s">
        <v>5</v>
      </c>
      <c r="BJ170" s="59"/>
      <c r="BK170" s="62" t="e">
        <f t="shared" ref="BK170:BK171" si="273">IF(AR$166=1,AR170,NA())</f>
        <v>#N/A</v>
      </c>
      <c r="BL170" s="62" t="e">
        <f t="shared" si="268"/>
        <v>#N/A</v>
      </c>
      <c r="BM170" s="62" t="e">
        <f t="shared" si="268"/>
        <v>#N/A</v>
      </c>
      <c r="BN170" s="62" t="e">
        <f t="shared" si="268"/>
        <v>#N/A</v>
      </c>
      <c r="BO170" s="62" t="e">
        <f t="shared" si="268"/>
        <v>#N/A</v>
      </c>
      <c r="BP170" s="62" t="e">
        <f t="shared" si="268"/>
        <v>#N/A</v>
      </c>
      <c r="BQ170" s="62" t="e">
        <f t="shared" si="268"/>
        <v>#N/A</v>
      </c>
      <c r="BR170" s="62" t="e">
        <f t="shared" si="268"/>
        <v>#N/A</v>
      </c>
      <c r="BS170" s="62" t="e">
        <f t="shared" si="268"/>
        <v>#N/A</v>
      </c>
      <c r="BT170" s="62" t="e">
        <f t="shared" si="268"/>
        <v>#N/A</v>
      </c>
      <c r="BU170" s="62" t="e">
        <f t="shared" si="268"/>
        <v>#N/A</v>
      </c>
      <c r="BV170" s="62" t="e">
        <f t="shared" si="268"/>
        <v>#N/A</v>
      </c>
      <c r="BW170" s="62" t="e">
        <f t="shared" si="268"/>
        <v>#N/A</v>
      </c>
      <c r="BX170" s="62" t="e">
        <f t="shared" si="268"/>
        <v>#N/A</v>
      </c>
      <c r="BY170" s="62" t="e">
        <f t="shared" si="268"/>
        <v>#N/A</v>
      </c>
    </row>
    <row r="171" spans="1:77" x14ac:dyDescent="0.5">
      <c r="O171" s="17"/>
      <c r="Q171" s="62">
        <v>0.38999999999999901</v>
      </c>
      <c r="R171" s="62" t="e">
        <f t="shared" si="239"/>
        <v>#DIV/0!</v>
      </c>
      <c r="S171" s="62" t="e">
        <f t="shared" si="240"/>
        <v>#DIV/0!</v>
      </c>
      <c r="T171" s="62" t="e">
        <f t="shared" si="241"/>
        <v>#DIV/0!</v>
      </c>
      <c r="U171" s="62" t="e">
        <f t="shared" si="242"/>
        <v>#DIV/0!</v>
      </c>
      <c r="V171" s="62" t="e">
        <f t="shared" si="243"/>
        <v>#DIV/0!</v>
      </c>
      <c r="W171" s="59" t="e">
        <f t="shared" si="209"/>
        <v>#DIV/0!</v>
      </c>
      <c r="X171" s="101" t="e">
        <f t="shared" si="244"/>
        <v>#DIV/0!</v>
      </c>
      <c r="Y171" s="104"/>
      <c r="AA171" s="62" t="e">
        <f t="shared" si="245"/>
        <v>#DIV/0!</v>
      </c>
      <c r="AF171" s="62">
        <v>0.92</v>
      </c>
      <c r="AG171" s="62" t="e">
        <f t="shared" si="253"/>
        <v>#DIV/0!</v>
      </c>
      <c r="AH171" s="62" t="e">
        <f t="shared" si="254"/>
        <v>#DIV/0!</v>
      </c>
      <c r="AI171" s="62" t="e">
        <f t="shared" si="269"/>
        <v>#DIV/0!</v>
      </c>
      <c r="AJ171" s="62" t="e">
        <f t="shared" si="270"/>
        <v>#DIV/0!</v>
      </c>
      <c r="AK171" s="62" t="e">
        <f t="shared" si="251"/>
        <v>#DIV/0!</v>
      </c>
      <c r="AL171" s="59" t="e">
        <f t="shared" si="264"/>
        <v>#DIV/0!</v>
      </c>
      <c r="AM171" s="101" t="e">
        <f t="shared" si="259"/>
        <v>#DIV/0!</v>
      </c>
      <c r="AN171" s="55"/>
      <c r="AP171" s="59" t="s">
        <v>251</v>
      </c>
      <c r="AQ171" s="59"/>
      <c r="AR171" s="63" t="str">
        <f t="shared" si="265"/>
        <v/>
      </c>
      <c r="AS171" s="63" t="str">
        <f t="shared" si="265"/>
        <v/>
      </c>
      <c r="AT171" s="63" t="str">
        <f t="shared" si="271"/>
        <v/>
      </c>
      <c r="AU171" s="63" t="str">
        <f t="shared" si="271"/>
        <v/>
      </c>
      <c r="AV171" s="63" t="str">
        <f t="shared" si="271"/>
        <v/>
      </c>
      <c r="AW171" s="63" t="str">
        <f t="shared" si="271"/>
        <v/>
      </c>
      <c r="AX171" s="63" t="str">
        <f t="shared" si="271"/>
        <v/>
      </c>
      <c r="AY171" s="63" t="str">
        <f t="shared" si="271"/>
        <v/>
      </c>
      <c r="AZ171" s="63" t="str">
        <f t="shared" si="271"/>
        <v/>
      </c>
      <c r="BA171" s="63" t="str">
        <f t="shared" ref="BA171:BF171" si="274">IF(BA$166=1,BA112,"")</f>
        <v/>
      </c>
      <c r="BB171" s="63" t="str">
        <f t="shared" si="274"/>
        <v/>
      </c>
      <c r="BC171" s="63" t="str">
        <f t="shared" si="274"/>
        <v/>
      </c>
      <c r="BD171" s="63" t="str">
        <f t="shared" si="274"/>
        <v/>
      </c>
      <c r="BE171" s="63" t="str">
        <f t="shared" si="274"/>
        <v/>
      </c>
      <c r="BF171" s="63" t="str">
        <f t="shared" si="274"/>
        <v/>
      </c>
      <c r="BI171" s="59" t="s">
        <v>251</v>
      </c>
      <c r="BJ171" s="59"/>
      <c r="BK171" s="62" t="e">
        <f t="shared" si="273"/>
        <v>#N/A</v>
      </c>
      <c r="BL171" s="62" t="e">
        <f t="shared" si="268"/>
        <v>#N/A</v>
      </c>
      <c r="BM171" s="62" t="e">
        <f t="shared" si="268"/>
        <v>#N/A</v>
      </c>
      <c r="BN171" s="62" t="e">
        <f t="shared" si="268"/>
        <v>#N/A</v>
      </c>
      <c r="BO171" s="62" t="e">
        <f t="shared" si="268"/>
        <v>#N/A</v>
      </c>
      <c r="BP171" s="62" t="e">
        <f t="shared" si="268"/>
        <v>#N/A</v>
      </c>
      <c r="BQ171" s="62" t="e">
        <f t="shared" si="268"/>
        <v>#N/A</v>
      </c>
      <c r="BR171" s="62" t="e">
        <f t="shared" si="268"/>
        <v>#N/A</v>
      </c>
      <c r="BS171" s="62" t="e">
        <f t="shared" si="268"/>
        <v>#N/A</v>
      </c>
      <c r="BT171" s="62" t="e">
        <f t="shared" si="268"/>
        <v>#N/A</v>
      </c>
      <c r="BU171" s="62" t="e">
        <f t="shared" si="268"/>
        <v>#N/A</v>
      </c>
      <c r="BV171" s="62" t="e">
        <f t="shared" si="268"/>
        <v>#N/A</v>
      </c>
      <c r="BW171" s="62" t="e">
        <f t="shared" si="268"/>
        <v>#N/A</v>
      </c>
      <c r="BX171" s="62" t="e">
        <f t="shared" si="268"/>
        <v>#N/A</v>
      </c>
      <c r="BY171" s="62" t="e">
        <f t="shared" si="268"/>
        <v>#N/A</v>
      </c>
    </row>
    <row r="172" spans="1:77" x14ac:dyDescent="0.5">
      <c r="O172" s="17"/>
      <c r="Q172" s="62">
        <v>0.37999999999999901</v>
      </c>
      <c r="R172" s="62" t="e">
        <f t="shared" si="239"/>
        <v>#DIV/0!</v>
      </c>
      <c r="S172" s="62" t="e">
        <f t="shared" si="240"/>
        <v>#DIV/0!</v>
      </c>
      <c r="T172" s="62" t="e">
        <f t="shared" si="241"/>
        <v>#DIV/0!</v>
      </c>
      <c r="U172" s="62" t="e">
        <f t="shared" si="242"/>
        <v>#DIV/0!</v>
      </c>
      <c r="V172" s="62" t="e">
        <f t="shared" si="243"/>
        <v>#DIV/0!</v>
      </c>
      <c r="W172" s="59" t="e">
        <f t="shared" si="209"/>
        <v>#DIV/0!</v>
      </c>
      <c r="X172" s="101" t="e">
        <f t="shared" si="244"/>
        <v>#DIV/0!</v>
      </c>
      <c r="Y172" s="104"/>
      <c r="AA172" s="62" t="e">
        <f t="shared" si="245"/>
        <v>#DIV/0!</v>
      </c>
      <c r="AF172" s="62">
        <v>0.91</v>
      </c>
      <c r="AG172" s="62" t="e">
        <f t="shared" si="253"/>
        <v>#DIV/0!</v>
      </c>
      <c r="AH172" s="62" t="e">
        <f t="shared" si="254"/>
        <v>#DIV/0!</v>
      </c>
      <c r="AI172" s="62" t="e">
        <f t="shared" si="269"/>
        <v>#DIV/0!</v>
      </c>
      <c r="AJ172" s="62" t="e">
        <f t="shared" si="270"/>
        <v>#DIV/0!</v>
      </c>
      <c r="AK172" s="62" t="e">
        <f t="shared" si="251"/>
        <v>#DIV/0!</v>
      </c>
      <c r="AL172" s="59" t="e">
        <f t="shared" si="264"/>
        <v>#DIV/0!</v>
      </c>
      <c r="AM172" s="101" t="e">
        <f t="shared" si="259"/>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9"/>
        <v>#DIV/0!</v>
      </c>
      <c r="S173" s="62" t="e">
        <f t="shared" si="240"/>
        <v>#DIV/0!</v>
      </c>
      <c r="T173" s="62" t="e">
        <f t="shared" si="241"/>
        <v>#DIV/0!</v>
      </c>
      <c r="U173" s="62" t="e">
        <f t="shared" si="242"/>
        <v>#DIV/0!</v>
      </c>
      <c r="V173" s="62" t="e">
        <f t="shared" si="243"/>
        <v>#DIV/0!</v>
      </c>
      <c r="W173" s="59" t="e">
        <f t="shared" si="209"/>
        <v>#DIV/0!</v>
      </c>
      <c r="X173" s="101" t="e">
        <f t="shared" si="244"/>
        <v>#DIV/0!</v>
      </c>
      <c r="Y173" s="104"/>
      <c r="AA173" s="62" t="e">
        <f t="shared" si="245"/>
        <v>#DIV/0!</v>
      </c>
      <c r="AF173" s="62">
        <v>0.9</v>
      </c>
      <c r="AG173" s="62" t="e">
        <f t="shared" si="253"/>
        <v>#DIV/0!</v>
      </c>
      <c r="AH173" s="62" t="e">
        <f t="shared" si="254"/>
        <v>#DIV/0!</v>
      </c>
      <c r="AI173" s="62" t="e">
        <f t="shared" si="269"/>
        <v>#DIV/0!</v>
      </c>
      <c r="AJ173" s="62" t="e">
        <f t="shared" si="270"/>
        <v>#DIV/0!</v>
      </c>
      <c r="AK173" s="62" t="e">
        <f t="shared" si="251"/>
        <v>#DIV/0!</v>
      </c>
      <c r="AL173" s="59" t="e">
        <f t="shared" si="264"/>
        <v>#DIV/0!</v>
      </c>
      <c r="AM173" s="101" t="e">
        <f t="shared" si="259"/>
        <v>#DIV/0!</v>
      </c>
      <c r="AN173" s="55"/>
      <c r="AP173" s="53" t="s">
        <v>31</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5">U174/$AT$124</f>
        <v>#DIV/0!</v>
      </c>
      <c r="S174" s="62" t="e">
        <f t="shared" ref="S174:S210" si="276">V174/$AT$125</f>
        <v>#DIV/0!</v>
      </c>
      <c r="T174" s="62" t="e">
        <f t="shared" ref="T174:T210" si="277">$AT$119*Q174</f>
        <v>#DIV/0!</v>
      </c>
      <c r="U174" s="62" t="e">
        <f t="shared" ref="U174:U205" si="278">(1/(1+EXP($AT$122-T174/$AT$119)^$AT$121))*((T174-$AT$119)/$AT$120)+(1/(1+EXP(T174/$AT$119-$AT$122)^$AT$121))*((($AT$116-T174)*$AT$118)/(T174+$AT$117))</f>
        <v>#DIV/0!</v>
      </c>
      <c r="V174" s="62" t="e">
        <f t="shared" ref="V174:V205" si="279">T174*U174</f>
        <v>#DIV/0!</v>
      </c>
      <c r="W174" s="59" t="e">
        <f t="shared" si="209"/>
        <v>#DIV/0!</v>
      </c>
      <c r="X174" s="101" t="e">
        <f t="shared" si="244"/>
        <v>#DIV/0!</v>
      </c>
      <c r="Y174" s="104"/>
      <c r="AA174" s="62" t="e">
        <f t="shared" si="245"/>
        <v>#DIV/0!</v>
      </c>
      <c r="AF174" s="62">
        <v>0.89</v>
      </c>
      <c r="AG174" s="62" t="e">
        <f t="shared" si="253"/>
        <v>#DIV/0!</v>
      </c>
      <c r="AH174" s="62" t="e">
        <f t="shared" si="254"/>
        <v>#DIV/0!</v>
      </c>
      <c r="AI174" s="62" t="e">
        <f t="shared" si="269"/>
        <v>#DIV/0!</v>
      </c>
      <c r="AJ174" s="62" t="e">
        <f t="shared" si="270"/>
        <v>#DIV/0!</v>
      </c>
      <c r="AK174" s="62" t="e">
        <f t="shared" si="251"/>
        <v>#DIV/0!</v>
      </c>
      <c r="AL174" s="59" t="e">
        <f t="shared" si="264"/>
        <v>#DIV/0!</v>
      </c>
      <c r="AM174" s="101" t="e">
        <f t="shared" si="259"/>
        <v>#DIV/0!</v>
      </c>
      <c r="AN174" s="55"/>
      <c r="AP174" s="59" t="s">
        <v>14</v>
      </c>
      <c r="AQ174" s="59" t="s">
        <v>59</v>
      </c>
      <c r="AR174" s="63" t="s">
        <v>60</v>
      </c>
      <c r="AS174" s="63" t="s">
        <v>61</v>
      </c>
      <c r="AT174" s="63" t="s">
        <v>62</v>
      </c>
      <c r="AV174" s="63" t="s">
        <v>34</v>
      </c>
      <c r="AW174" s="63" t="e">
        <f>RSQ(AR210:BF210,AR209:BF209)</f>
        <v>#DIV/0!</v>
      </c>
      <c r="AX174" s="63" t="s">
        <v>70</v>
      </c>
      <c r="AY174" s="63" t="e">
        <f>STEYX(AR210:BF210,AR209:BF209)</f>
        <v>#DIV/0!</v>
      </c>
      <c r="AZ174" s="63" t="s">
        <v>65</v>
      </c>
      <c r="BA174" s="83">
        <f>SQRT(SUM(AR211:BF211)/(COUNT(AR211:BF211)-2))</f>
        <v>0</v>
      </c>
      <c r="BB174" s="63" t="s">
        <v>144</v>
      </c>
      <c r="BC174" s="63">
        <f>SQRT(SUM(AR215:BF215)/(COUNT(AR215:BF215)-2))</f>
        <v>0</v>
      </c>
      <c r="BD174" s="63" t="s">
        <v>149</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5"/>
        <v>#DIV/0!</v>
      </c>
      <c r="S175" s="62" t="e">
        <f t="shared" si="276"/>
        <v>#DIV/0!</v>
      </c>
      <c r="T175" s="62" t="e">
        <f t="shared" si="277"/>
        <v>#DIV/0!</v>
      </c>
      <c r="U175" s="62" t="e">
        <f t="shared" si="278"/>
        <v>#DIV/0!</v>
      </c>
      <c r="V175" s="62" t="e">
        <f t="shared" si="279"/>
        <v>#DIV/0!</v>
      </c>
      <c r="W175" s="59" t="e">
        <f t="shared" si="209"/>
        <v>#DIV/0!</v>
      </c>
      <c r="X175" s="101" t="e">
        <f t="shared" ref="X175:X206" si="280">ROUND(((W174-W175)/$W$110),4)</f>
        <v>#DIV/0!</v>
      </c>
      <c r="Y175" s="104"/>
      <c r="AA175" s="62" t="e">
        <f t="shared" ref="AA175:AA210" si="281">((($AT$116-T175)*$AT$118)/(T175+$AT$117))</f>
        <v>#DIV/0!</v>
      </c>
      <c r="AF175" s="62">
        <v>0.88</v>
      </c>
      <c r="AG175" s="62" t="e">
        <f t="shared" si="253"/>
        <v>#DIV/0!</v>
      </c>
      <c r="AH175" s="62" t="e">
        <f t="shared" si="254"/>
        <v>#DIV/0!</v>
      </c>
      <c r="AI175" s="62" t="e">
        <f t="shared" si="269"/>
        <v>#DIV/0!</v>
      </c>
      <c r="AJ175" s="62" t="e">
        <f t="shared" si="270"/>
        <v>#DIV/0!</v>
      </c>
      <c r="AK175" s="62" t="e">
        <f t="shared" si="251"/>
        <v>#DIV/0!</v>
      </c>
      <c r="AL175" s="59" t="e">
        <f t="shared" si="264"/>
        <v>#DIV/0!</v>
      </c>
      <c r="AM175" s="101" t="e">
        <f t="shared" si="259"/>
        <v>#DIV/0!</v>
      </c>
      <c r="AN175" s="55"/>
      <c r="AP175" s="59" t="s">
        <v>263</v>
      </c>
      <c r="AQ175" s="102" t="e">
        <f t="shared" ref="AQ175:AR181" si="282">AQ116</f>
        <v>#DIV/0!</v>
      </c>
      <c r="AR175" s="102" t="e">
        <f t="shared" si="282"/>
        <v>#DIV/0!</v>
      </c>
      <c r="AS175" s="103" t="e">
        <f t="array" ref="AS175:AS181">para4</f>
        <v>#DIV/0!</v>
      </c>
      <c r="AT175" s="117" t="e">
        <f t="shared" ref="AT175:AT181" si="283">startval5</f>
        <v>#DIV/0!</v>
      </c>
      <c r="BD175" s="63" t="s">
        <v>150</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5"/>
        <v>#DIV/0!</v>
      </c>
      <c r="S176" s="62" t="e">
        <f t="shared" si="276"/>
        <v>#DIV/0!</v>
      </c>
      <c r="T176" s="62" t="e">
        <f t="shared" si="277"/>
        <v>#DIV/0!</v>
      </c>
      <c r="U176" s="62" t="e">
        <f t="shared" si="278"/>
        <v>#DIV/0!</v>
      </c>
      <c r="V176" s="62" t="e">
        <f t="shared" si="279"/>
        <v>#DIV/0!</v>
      </c>
      <c r="W176" s="59" t="e">
        <f t="shared" si="209"/>
        <v>#DIV/0!</v>
      </c>
      <c r="X176" s="101" t="e">
        <f t="shared" si="280"/>
        <v>#DIV/0!</v>
      </c>
      <c r="Y176" s="104"/>
      <c r="AA176" s="62" t="e">
        <f t="shared" si="281"/>
        <v>#DIV/0!</v>
      </c>
      <c r="AF176" s="62">
        <v>0.87</v>
      </c>
      <c r="AG176" s="62" t="e">
        <f t="shared" si="253"/>
        <v>#DIV/0!</v>
      </c>
      <c r="AH176" s="62" t="e">
        <f t="shared" si="254"/>
        <v>#DIV/0!</v>
      </c>
      <c r="AI176" s="62" t="e">
        <f t="shared" si="269"/>
        <v>#DIV/0!</v>
      </c>
      <c r="AJ176" s="62" t="e">
        <f t="shared" si="270"/>
        <v>#DIV/0!</v>
      </c>
      <c r="AK176" s="62" t="e">
        <f t="shared" si="251"/>
        <v>#DIV/0!</v>
      </c>
      <c r="AL176" s="59" t="e">
        <f t="shared" si="264"/>
        <v>#DIV/0!</v>
      </c>
      <c r="AM176" s="101" t="e">
        <f t="shared" si="259"/>
        <v>#DIV/0!</v>
      </c>
      <c r="AN176" s="55"/>
      <c r="AP176" s="59" t="s">
        <v>53</v>
      </c>
      <c r="AQ176" s="102">
        <f t="shared" si="282"/>
        <v>0</v>
      </c>
      <c r="AR176" s="102" t="e">
        <f t="shared" si="282"/>
        <v>#DIV/0!</v>
      </c>
      <c r="AS176" s="103" t="e">
        <v>#DIV/0!</v>
      </c>
      <c r="AT176" s="117" t="e">
        <f t="shared" si="283"/>
        <v>#DIV/0!</v>
      </c>
      <c r="AV176" s="63" t="s">
        <v>146</v>
      </c>
      <c r="AW176" s="63" t="s">
        <v>137</v>
      </c>
      <c r="AX176" s="63" t="s">
        <v>147</v>
      </c>
      <c r="AZ176" s="63" t="s">
        <v>148</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5"/>
        <v>#DIV/0!</v>
      </c>
      <c r="S177" s="62" t="e">
        <f t="shared" si="276"/>
        <v>#DIV/0!</v>
      </c>
      <c r="T177" s="62" t="e">
        <f t="shared" si="277"/>
        <v>#DIV/0!</v>
      </c>
      <c r="U177" s="62" t="e">
        <f t="shared" si="278"/>
        <v>#DIV/0!</v>
      </c>
      <c r="V177" s="62" t="e">
        <f t="shared" si="279"/>
        <v>#DIV/0!</v>
      </c>
      <c r="W177" s="59" t="e">
        <f t="shared" si="209"/>
        <v>#DIV/0!</v>
      </c>
      <c r="X177" s="101" t="e">
        <f t="shared" si="280"/>
        <v>#DIV/0!</v>
      </c>
      <c r="Y177" s="104"/>
      <c r="AA177" s="62" t="e">
        <f t="shared" si="281"/>
        <v>#DIV/0!</v>
      </c>
      <c r="AF177" s="62">
        <v>0.86</v>
      </c>
      <c r="AG177" s="62" t="e">
        <f t="shared" si="253"/>
        <v>#DIV/0!</v>
      </c>
      <c r="AH177" s="62" t="e">
        <f t="shared" si="254"/>
        <v>#DIV/0!</v>
      </c>
      <c r="AI177" s="62" t="e">
        <f t="shared" si="269"/>
        <v>#DIV/0!</v>
      </c>
      <c r="AJ177" s="62" t="e">
        <f t="shared" si="270"/>
        <v>#DIV/0!</v>
      </c>
      <c r="AK177" s="62" t="e">
        <f t="shared" si="251"/>
        <v>#DIV/0!</v>
      </c>
      <c r="AL177" s="59" t="e">
        <f t="shared" si="264"/>
        <v>#DIV/0!</v>
      </c>
      <c r="AM177" s="101" t="e">
        <f t="shared" si="259"/>
        <v>#DIV/0!</v>
      </c>
      <c r="AN177" s="55"/>
      <c r="AP177" s="59" t="s">
        <v>54</v>
      </c>
      <c r="AQ177" s="102">
        <f t="shared" si="282"/>
        <v>0</v>
      </c>
      <c r="AR177" s="102" t="e">
        <f t="shared" si="282"/>
        <v>#DIV/0!</v>
      </c>
      <c r="AS177" s="103" t="e">
        <v>#DIV/0!</v>
      </c>
      <c r="AT177" s="117" t="e">
        <f t="shared" si="283"/>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5"/>
        <v>#DIV/0!</v>
      </c>
      <c r="S178" s="62" t="e">
        <f t="shared" si="276"/>
        <v>#DIV/0!</v>
      </c>
      <c r="T178" s="62" t="e">
        <f t="shared" si="277"/>
        <v>#DIV/0!</v>
      </c>
      <c r="U178" s="62" t="e">
        <f t="shared" si="278"/>
        <v>#DIV/0!</v>
      </c>
      <c r="V178" s="62" t="e">
        <f t="shared" si="279"/>
        <v>#DIV/0!</v>
      </c>
      <c r="W178" s="59" t="e">
        <f t="shared" si="209"/>
        <v>#DIV/0!</v>
      </c>
      <c r="X178" s="101" t="e">
        <f t="shared" si="280"/>
        <v>#DIV/0!</v>
      </c>
      <c r="Y178" s="104"/>
      <c r="AA178" s="62" t="e">
        <f t="shared" si="281"/>
        <v>#DIV/0!</v>
      </c>
      <c r="AF178" s="62">
        <v>0.85</v>
      </c>
      <c r="AG178" s="62" t="e">
        <f t="shared" si="253"/>
        <v>#DIV/0!</v>
      </c>
      <c r="AH178" s="62" t="e">
        <f t="shared" si="254"/>
        <v>#DIV/0!</v>
      </c>
      <c r="AI178" s="62" t="e">
        <f t="shared" si="269"/>
        <v>#DIV/0!</v>
      </c>
      <c r="AJ178" s="62" t="e">
        <f t="shared" si="270"/>
        <v>#DIV/0!</v>
      </c>
      <c r="AK178" s="62" t="e">
        <f t="shared" si="251"/>
        <v>#DIV/0!</v>
      </c>
      <c r="AL178" s="59" t="e">
        <f t="shared" si="264"/>
        <v>#DIV/0!</v>
      </c>
      <c r="AM178" s="101" t="e">
        <f t="shared" si="259"/>
        <v>#DIV/0!</v>
      </c>
      <c r="AN178" s="55"/>
      <c r="AP178" s="59" t="s">
        <v>240</v>
      </c>
      <c r="AQ178" s="102" t="e">
        <f t="shared" si="282"/>
        <v>#DIV/0!</v>
      </c>
      <c r="AR178" s="102" t="e">
        <f t="shared" si="282"/>
        <v>#DIV/0!</v>
      </c>
      <c r="AS178" s="103" t="e">
        <v>#DIV/0!</v>
      </c>
      <c r="AT178" s="117" t="e">
        <f t="shared" si="283"/>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5"/>
        <v>#DIV/0!</v>
      </c>
      <c r="S179" s="62" t="e">
        <f t="shared" si="276"/>
        <v>#DIV/0!</v>
      </c>
      <c r="T179" s="62" t="e">
        <f t="shared" si="277"/>
        <v>#DIV/0!</v>
      </c>
      <c r="U179" s="62" t="e">
        <f t="shared" si="278"/>
        <v>#DIV/0!</v>
      </c>
      <c r="V179" s="62" t="e">
        <f t="shared" si="279"/>
        <v>#DIV/0!</v>
      </c>
      <c r="W179" s="59" t="e">
        <f t="shared" si="209"/>
        <v>#DIV/0!</v>
      </c>
      <c r="X179" s="101" t="e">
        <f t="shared" si="280"/>
        <v>#DIV/0!</v>
      </c>
      <c r="Y179" s="104"/>
      <c r="AA179" s="62" t="e">
        <f t="shared" si="281"/>
        <v>#DIV/0!</v>
      </c>
      <c r="AF179" s="62">
        <v>0.84</v>
      </c>
      <c r="AG179" s="62" t="e">
        <f t="shared" si="253"/>
        <v>#DIV/0!</v>
      </c>
      <c r="AH179" s="62" t="e">
        <f t="shared" si="254"/>
        <v>#DIV/0!</v>
      </c>
      <c r="AI179" s="62" t="e">
        <f t="shared" si="269"/>
        <v>#DIV/0!</v>
      </c>
      <c r="AJ179" s="62" t="e">
        <f t="shared" si="270"/>
        <v>#DIV/0!</v>
      </c>
      <c r="AK179" s="62" t="e">
        <f t="shared" si="251"/>
        <v>#DIV/0!</v>
      </c>
      <c r="AL179" s="59" t="e">
        <f t="shared" si="264"/>
        <v>#DIV/0!</v>
      </c>
      <c r="AM179" s="101" t="e">
        <f t="shared" si="259"/>
        <v>#DIV/0!</v>
      </c>
      <c r="AN179" s="55"/>
      <c r="AP179" s="59" t="s">
        <v>32</v>
      </c>
      <c r="AQ179" s="102" t="e">
        <f t="shared" si="282"/>
        <v>#DIV/0!</v>
      </c>
      <c r="AR179" s="102">
        <f t="shared" si="282"/>
        <v>0</v>
      </c>
      <c r="AS179" s="103" t="e">
        <v>#DIV/0!</v>
      </c>
      <c r="AT179" s="117" t="e">
        <f t="shared" si="283"/>
        <v>#DIV/0!</v>
      </c>
      <c r="AV179" s="87" t="s">
        <v>92</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5"/>
        <v>#DIV/0!</v>
      </c>
      <c r="S180" s="62" t="e">
        <f t="shared" si="276"/>
        <v>#DIV/0!</v>
      </c>
      <c r="T180" s="62" t="e">
        <f t="shared" si="277"/>
        <v>#DIV/0!</v>
      </c>
      <c r="U180" s="62" t="e">
        <f t="shared" si="278"/>
        <v>#DIV/0!</v>
      </c>
      <c r="V180" s="62" t="e">
        <f t="shared" si="279"/>
        <v>#DIV/0!</v>
      </c>
      <c r="W180" s="59" t="e">
        <f t="shared" si="209"/>
        <v>#DIV/0!</v>
      </c>
      <c r="X180" s="101" t="e">
        <f t="shared" si="280"/>
        <v>#DIV/0!</v>
      </c>
      <c r="Y180" s="104"/>
      <c r="AA180" s="62" t="e">
        <f t="shared" si="281"/>
        <v>#DIV/0!</v>
      </c>
      <c r="AF180" s="62">
        <v>0.83</v>
      </c>
      <c r="AG180" s="62" t="e">
        <f t="shared" si="253"/>
        <v>#DIV/0!</v>
      </c>
      <c r="AH180" s="62" t="e">
        <f t="shared" si="254"/>
        <v>#DIV/0!</v>
      </c>
      <c r="AI180" s="62" t="e">
        <f t="shared" si="269"/>
        <v>#DIV/0!</v>
      </c>
      <c r="AJ180" s="62" t="e">
        <f t="shared" si="270"/>
        <v>#DIV/0!</v>
      </c>
      <c r="AK180" s="62" t="e">
        <f t="shared" si="251"/>
        <v>#DIV/0!</v>
      </c>
      <c r="AL180" s="59" t="e">
        <f t="shared" si="264"/>
        <v>#DIV/0!</v>
      </c>
      <c r="AM180" s="101" t="e">
        <f t="shared" si="259"/>
        <v>#DIV/0!</v>
      </c>
      <c r="AN180" s="55"/>
      <c r="AP180" s="59" t="s">
        <v>55</v>
      </c>
      <c r="AQ180" s="102">
        <f t="shared" si="282"/>
        <v>20</v>
      </c>
      <c r="AR180" s="102">
        <f t="shared" si="282"/>
        <v>20</v>
      </c>
      <c r="AS180" s="103">
        <v>20</v>
      </c>
      <c r="AT180" s="117">
        <f t="shared" si="283"/>
        <v>20</v>
      </c>
      <c r="AV180" s="90"/>
      <c r="AY180" s="52" t="s">
        <v>94</v>
      </c>
      <c r="AZ180" s="52" t="s">
        <v>95</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5"/>
        <v>#DIV/0!</v>
      </c>
      <c r="S181" s="62" t="e">
        <f t="shared" si="276"/>
        <v>#DIV/0!</v>
      </c>
      <c r="T181" s="62" t="e">
        <f t="shared" si="277"/>
        <v>#DIV/0!</v>
      </c>
      <c r="U181" s="62" t="e">
        <f t="shared" si="278"/>
        <v>#DIV/0!</v>
      </c>
      <c r="V181" s="62" t="e">
        <f t="shared" si="279"/>
        <v>#DIV/0!</v>
      </c>
      <c r="W181" s="59" t="e">
        <f t="shared" si="209"/>
        <v>#DIV/0!</v>
      </c>
      <c r="X181" s="101" t="e">
        <f t="shared" si="280"/>
        <v>#DIV/0!</v>
      </c>
      <c r="Y181" s="104"/>
      <c r="AA181" s="62" t="e">
        <f t="shared" si="281"/>
        <v>#DIV/0!</v>
      </c>
      <c r="AF181" s="62">
        <v>0.82</v>
      </c>
      <c r="AG181" s="62" t="e">
        <f t="shared" si="253"/>
        <v>#DIV/0!</v>
      </c>
      <c r="AH181" s="62" t="e">
        <f t="shared" si="254"/>
        <v>#DIV/0!</v>
      </c>
      <c r="AI181" s="62" t="e">
        <f t="shared" si="269"/>
        <v>#DIV/0!</v>
      </c>
      <c r="AJ181" s="62" t="e">
        <f t="shared" si="270"/>
        <v>#DIV/0!</v>
      </c>
      <c r="AK181" s="62" t="e">
        <f t="shared" si="251"/>
        <v>#DIV/0!</v>
      </c>
      <c r="AL181" s="59" t="e">
        <f t="shared" si="264"/>
        <v>#DIV/0!</v>
      </c>
      <c r="AM181" s="101" t="e">
        <f t="shared" si="259"/>
        <v>#DIV/0!</v>
      </c>
      <c r="AN181" s="55"/>
      <c r="AP181" s="59" t="s">
        <v>56</v>
      </c>
      <c r="AQ181" s="102">
        <f t="shared" si="282"/>
        <v>0.3</v>
      </c>
      <c r="AR181" s="102">
        <f t="shared" si="282"/>
        <v>0.55000000000000004</v>
      </c>
      <c r="AS181" s="103">
        <v>0.45</v>
      </c>
      <c r="AT181" s="117">
        <f t="shared" si="283"/>
        <v>0.45</v>
      </c>
      <c r="AV181" s="90" t="s">
        <v>93</v>
      </c>
      <c r="AY181" s="52">
        <v>0.02</v>
      </c>
      <c r="AZ181" s="93">
        <v>1</v>
      </c>
      <c r="BA181" s="52" t="s">
        <v>89</v>
      </c>
      <c r="BC181" s="52" t="s">
        <v>151</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5"/>
        <v>#DIV/0!</v>
      </c>
      <c r="S182" s="62" t="e">
        <f t="shared" si="276"/>
        <v>#DIV/0!</v>
      </c>
      <c r="T182" s="62" t="e">
        <f t="shared" si="277"/>
        <v>#DIV/0!</v>
      </c>
      <c r="U182" s="62" t="e">
        <f t="shared" si="278"/>
        <v>#DIV/0!</v>
      </c>
      <c r="V182" s="62" t="e">
        <f t="shared" si="279"/>
        <v>#DIV/0!</v>
      </c>
      <c r="W182" s="59" t="e">
        <f t="shared" si="209"/>
        <v>#DIV/0!</v>
      </c>
      <c r="X182" s="101" t="e">
        <f t="shared" si="280"/>
        <v>#DIV/0!</v>
      </c>
      <c r="Y182" s="104"/>
      <c r="AA182" s="62" t="e">
        <f t="shared" si="281"/>
        <v>#DIV/0!</v>
      </c>
      <c r="AF182" s="62">
        <v>0.81</v>
      </c>
      <c r="AG182" s="62" t="e">
        <f t="shared" si="253"/>
        <v>#DIV/0!</v>
      </c>
      <c r="AH182" s="62" t="e">
        <f t="shared" si="254"/>
        <v>#DIV/0!</v>
      </c>
      <c r="AI182" s="62" t="e">
        <f t="shared" si="269"/>
        <v>#DIV/0!</v>
      </c>
      <c r="AJ182" s="62" t="e">
        <f t="shared" si="270"/>
        <v>#DIV/0!</v>
      </c>
      <c r="AK182" s="62" t="e">
        <f t="shared" si="251"/>
        <v>#DIV/0!</v>
      </c>
      <c r="AL182" s="59" t="e">
        <f t="shared" si="264"/>
        <v>#DIV/0!</v>
      </c>
      <c r="AM182" s="101" t="e">
        <f t="shared" si="259"/>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5"/>
        <v>#DIV/0!</v>
      </c>
      <c r="S183" s="62" t="e">
        <f t="shared" si="276"/>
        <v>#DIV/0!</v>
      </c>
      <c r="T183" s="62" t="e">
        <f t="shared" si="277"/>
        <v>#DIV/0!</v>
      </c>
      <c r="U183" s="62" t="e">
        <f t="shared" si="278"/>
        <v>#DIV/0!</v>
      </c>
      <c r="V183" s="62" t="e">
        <f t="shared" si="279"/>
        <v>#DIV/0!</v>
      </c>
      <c r="W183" s="59" t="e">
        <f t="shared" si="209"/>
        <v>#DIV/0!</v>
      </c>
      <c r="X183" s="101" t="e">
        <f t="shared" si="280"/>
        <v>#DIV/0!</v>
      </c>
      <c r="Y183" s="104"/>
      <c r="AA183" s="62" t="e">
        <f t="shared" si="281"/>
        <v>#DIV/0!</v>
      </c>
      <c r="AF183" s="62">
        <v>0.8</v>
      </c>
      <c r="AG183" s="62" t="e">
        <f t="shared" si="253"/>
        <v>#DIV/0!</v>
      </c>
      <c r="AH183" s="62" t="e">
        <f t="shared" si="254"/>
        <v>#DIV/0!</v>
      </c>
      <c r="AI183" s="62" t="e">
        <f t="shared" si="269"/>
        <v>#DIV/0!</v>
      </c>
      <c r="AJ183" s="62" t="e">
        <f t="shared" si="270"/>
        <v>#DIV/0!</v>
      </c>
      <c r="AK183" s="62" t="e">
        <f t="shared" si="251"/>
        <v>#DIV/0!</v>
      </c>
      <c r="AL183" s="59" t="e">
        <f t="shared" si="264"/>
        <v>#DIV/0!</v>
      </c>
      <c r="AM183" s="101" t="e">
        <f t="shared" si="259"/>
        <v>#DIV/0!</v>
      </c>
      <c r="AN183" s="55"/>
      <c r="AP183" s="59" t="s">
        <v>57</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5"/>
        <v>#DIV/0!</v>
      </c>
      <c r="S184" s="62" t="e">
        <f t="shared" si="276"/>
        <v>#DIV/0!</v>
      </c>
      <c r="T184" s="62" t="e">
        <f t="shared" si="277"/>
        <v>#DIV/0!</v>
      </c>
      <c r="U184" s="62" t="e">
        <f t="shared" si="278"/>
        <v>#DIV/0!</v>
      </c>
      <c r="V184" s="62" t="e">
        <f t="shared" si="279"/>
        <v>#DIV/0!</v>
      </c>
      <c r="W184" s="59" t="e">
        <f t="shared" ref="W184:W205" si="284">ROUND(SLOPE(T179:T189,U179:U189),0)</f>
        <v>#DIV/0!</v>
      </c>
      <c r="X184" s="101" t="e">
        <f t="shared" si="280"/>
        <v>#DIV/0!</v>
      </c>
      <c r="Y184" s="104"/>
      <c r="AA184" s="62" t="e">
        <f t="shared" si="281"/>
        <v>#DIV/0!</v>
      </c>
      <c r="AF184" s="62">
        <v>0.79</v>
      </c>
      <c r="AG184" s="62" t="e">
        <f t="shared" si="253"/>
        <v>#DIV/0!</v>
      </c>
      <c r="AH184" s="62" t="e">
        <f t="shared" si="254"/>
        <v>#DIV/0!</v>
      </c>
      <c r="AI184" s="62" t="e">
        <f t="shared" si="269"/>
        <v>#DIV/0!</v>
      </c>
      <c r="AJ184" s="62" t="e">
        <f t="shared" si="270"/>
        <v>#DIV/0!</v>
      </c>
      <c r="AK184" s="62" t="e">
        <f t="shared" si="251"/>
        <v>#DIV/0!</v>
      </c>
      <c r="AL184" s="59" t="e">
        <f t="shared" si="264"/>
        <v>#DIV/0!</v>
      </c>
      <c r="AM184" s="101" t="e">
        <f t="shared" si="259"/>
        <v>#DIV/0!</v>
      </c>
      <c r="AN184" s="55"/>
      <c r="AP184" s="59" t="s">
        <v>241</v>
      </c>
      <c r="AT184" s="63" t="e">
        <f>MAX(AK163:AK263)</f>
        <v>#DIV/0!</v>
      </c>
      <c r="AV184" s="90" t="s">
        <v>143</v>
      </c>
      <c r="BA184" s="52" t="s">
        <v>89</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5"/>
        <v>#DIV/0!</v>
      </c>
      <c r="S185" s="62" t="e">
        <f t="shared" si="276"/>
        <v>#DIV/0!</v>
      </c>
      <c r="T185" s="62" t="e">
        <f t="shared" si="277"/>
        <v>#DIV/0!</v>
      </c>
      <c r="U185" s="62" t="e">
        <f t="shared" si="278"/>
        <v>#DIV/0!</v>
      </c>
      <c r="V185" s="62" t="e">
        <f t="shared" si="279"/>
        <v>#DIV/0!</v>
      </c>
      <c r="W185" s="59" t="e">
        <f t="shared" si="284"/>
        <v>#DIV/0!</v>
      </c>
      <c r="X185" s="101" t="e">
        <f t="shared" si="280"/>
        <v>#DIV/0!</v>
      </c>
      <c r="Y185" s="104"/>
      <c r="AA185" s="62" t="e">
        <f t="shared" si="281"/>
        <v>#DIV/0!</v>
      </c>
      <c r="AF185" s="62">
        <v>0.78</v>
      </c>
      <c r="AG185" s="62" t="e">
        <f t="shared" si="253"/>
        <v>#DIV/0!</v>
      </c>
      <c r="AH185" s="62" t="e">
        <f t="shared" si="254"/>
        <v>#DIV/0!</v>
      </c>
      <c r="AI185" s="62" t="e">
        <f t="shared" si="269"/>
        <v>#DIV/0!</v>
      </c>
      <c r="AJ185" s="62" t="e">
        <f t="shared" si="270"/>
        <v>#DIV/0!</v>
      </c>
      <c r="AK185" s="62" t="e">
        <f t="shared" si="251"/>
        <v>#DIV/0!</v>
      </c>
      <c r="AL185" s="59" t="e">
        <f t="shared" si="264"/>
        <v>#DIV/0!</v>
      </c>
      <c r="AM185" s="101" t="e">
        <f t="shared" si="259"/>
        <v>#DIV/0!</v>
      </c>
      <c r="AN185" s="55"/>
      <c r="AP185" s="59" t="s">
        <v>243</v>
      </c>
      <c r="AT185" s="63" t="e">
        <f>INDEX(AI163:AI263,MATCH(AT184,AK163:AK263,0))</f>
        <v>#DIV/0!</v>
      </c>
      <c r="AV185" s="90">
        <f>AV126</f>
        <v>0.85</v>
      </c>
      <c r="BC185" s="52" t="s">
        <v>145</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5"/>
        <v>#DIV/0!</v>
      </c>
      <c r="S186" s="62" t="e">
        <f t="shared" si="276"/>
        <v>#DIV/0!</v>
      </c>
      <c r="T186" s="62" t="e">
        <f t="shared" si="277"/>
        <v>#DIV/0!</v>
      </c>
      <c r="U186" s="62" t="e">
        <f t="shared" si="278"/>
        <v>#DIV/0!</v>
      </c>
      <c r="V186" s="62" t="e">
        <f t="shared" si="279"/>
        <v>#DIV/0!</v>
      </c>
      <c r="W186" s="59" t="e">
        <f t="shared" si="284"/>
        <v>#DIV/0!</v>
      </c>
      <c r="X186" s="101" t="e">
        <f t="shared" si="280"/>
        <v>#DIV/0!</v>
      </c>
      <c r="Y186" s="104"/>
      <c r="AA186" s="62" t="e">
        <f t="shared" si="281"/>
        <v>#DIV/0!</v>
      </c>
      <c r="AF186" s="62">
        <v>0.77</v>
      </c>
      <c r="AG186" s="62" t="e">
        <f t="shared" si="253"/>
        <v>#DIV/0!</v>
      </c>
      <c r="AH186" s="62" t="e">
        <f t="shared" si="254"/>
        <v>#DIV/0!</v>
      </c>
      <c r="AI186" s="62" t="e">
        <f t="shared" si="269"/>
        <v>#DIV/0!</v>
      </c>
      <c r="AJ186" s="62" t="e">
        <f t="shared" si="270"/>
        <v>#DIV/0!</v>
      </c>
      <c r="AK186" s="62" t="e">
        <f t="shared" si="251"/>
        <v>#DIV/0!</v>
      </c>
      <c r="AL186" s="59" t="e">
        <f t="shared" si="264"/>
        <v>#DIV/0!</v>
      </c>
      <c r="AM186" s="101" t="e">
        <f t="shared" si="259"/>
        <v>#DIV/0!</v>
      </c>
      <c r="AN186" s="55"/>
      <c r="AP186" s="59" t="s">
        <v>8</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5"/>
        <v>#DIV/0!</v>
      </c>
      <c r="S187" s="62" t="e">
        <f t="shared" si="276"/>
        <v>#DIV/0!</v>
      </c>
      <c r="T187" s="62" t="e">
        <f t="shared" si="277"/>
        <v>#DIV/0!</v>
      </c>
      <c r="U187" s="62" t="e">
        <f t="shared" si="278"/>
        <v>#DIV/0!</v>
      </c>
      <c r="V187" s="62" t="e">
        <f t="shared" si="279"/>
        <v>#DIV/0!</v>
      </c>
      <c r="W187" s="59" t="e">
        <f t="shared" si="284"/>
        <v>#DIV/0!</v>
      </c>
      <c r="X187" s="101" t="e">
        <f t="shared" si="280"/>
        <v>#DIV/0!</v>
      </c>
      <c r="Y187" s="104"/>
      <c r="AA187" s="62" t="e">
        <f t="shared" si="281"/>
        <v>#DIV/0!</v>
      </c>
      <c r="AF187" s="62">
        <v>0.76</v>
      </c>
      <c r="AG187" s="62" t="e">
        <f t="shared" si="253"/>
        <v>#DIV/0!</v>
      </c>
      <c r="AH187" s="62" t="e">
        <f t="shared" si="254"/>
        <v>#DIV/0!</v>
      </c>
      <c r="AI187" s="62" t="e">
        <f t="shared" si="269"/>
        <v>#DIV/0!</v>
      </c>
      <c r="AJ187" s="62" t="e">
        <f t="shared" si="270"/>
        <v>#DIV/0!</v>
      </c>
      <c r="AK187" s="62" t="e">
        <f t="shared" si="251"/>
        <v>#DIV/0!</v>
      </c>
      <c r="AL187" s="59" t="e">
        <f>ROUND(SLOPE(AI183:AI191,AJ183:AJ191),0)</f>
        <v>#DIV/0!</v>
      </c>
      <c r="AM187" s="101" t="e">
        <f t="shared" si="259"/>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5"/>
        <v>#DIV/0!</v>
      </c>
      <c r="S188" s="62" t="e">
        <f t="shared" si="276"/>
        <v>#DIV/0!</v>
      </c>
      <c r="T188" s="62" t="e">
        <f t="shared" si="277"/>
        <v>#DIV/0!</v>
      </c>
      <c r="U188" s="62" t="e">
        <f t="shared" si="278"/>
        <v>#DIV/0!</v>
      </c>
      <c r="V188" s="62" t="e">
        <f t="shared" si="279"/>
        <v>#DIV/0!</v>
      </c>
      <c r="W188" s="59" t="e">
        <f t="shared" si="284"/>
        <v>#DIV/0!</v>
      </c>
      <c r="X188" s="101" t="e">
        <f t="shared" si="280"/>
        <v>#DIV/0!</v>
      </c>
      <c r="Y188" s="104"/>
      <c r="AA188" s="62" t="e">
        <f t="shared" si="281"/>
        <v>#DIV/0!</v>
      </c>
      <c r="AF188" s="62">
        <v>0.75</v>
      </c>
      <c r="AG188" s="62" t="e">
        <f t="shared" si="253"/>
        <v>#DIV/0!</v>
      </c>
      <c r="AH188" s="62" t="e">
        <f t="shared" si="254"/>
        <v>#DIV/0!</v>
      </c>
      <c r="AI188" s="62" t="e">
        <f t="shared" si="269"/>
        <v>#DIV/0!</v>
      </c>
      <c r="AJ188" s="62" t="e">
        <f t="shared" si="270"/>
        <v>#DIV/0!</v>
      </c>
      <c r="AK188" s="62" t="e">
        <f t="shared" si="251"/>
        <v>#DIV/0!</v>
      </c>
      <c r="AL188" s="59" t="e">
        <f t="shared" si="264"/>
        <v>#DIV/0!</v>
      </c>
      <c r="AM188" s="101" t="e">
        <f t="shared" si="259"/>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5"/>
        <v>#DIV/0!</v>
      </c>
      <c r="S189" s="62" t="e">
        <f t="shared" si="276"/>
        <v>#DIV/0!</v>
      </c>
      <c r="T189" s="62" t="e">
        <f t="shared" si="277"/>
        <v>#DIV/0!</v>
      </c>
      <c r="U189" s="62" t="e">
        <f t="shared" si="278"/>
        <v>#DIV/0!</v>
      </c>
      <c r="V189" s="62" t="e">
        <f t="shared" si="279"/>
        <v>#DIV/0!</v>
      </c>
      <c r="W189" s="59" t="e">
        <f t="shared" si="284"/>
        <v>#DIV/0!</v>
      </c>
      <c r="X189" s="101" t="e">
        <f t="shared" si="280"/>
        <v>#DIV/0!</v>
      </c>
      <c r="Y189" s="104"/>
      <c r="AA189" s="62" t="e">
        <f t="shared" si="281"/>
        <v>#DIV/0!</v>
      </c>
      <c r="AF189" s="62">
        <v>0.74</v>
      </c>
      <c r="AG189" s="62" t="e">
        <f t="shared" si="253"/>
        <v>#DIV/0!</v>
      </c>
      <c r="AH189" s="62" t="e">
        <f t="shared" si="254"/>
        <v>#DIV/0!</v>
      </c>
      <c r="AI189" s="62" t="e">
        <f t="shared" si="269"/>
        <v>#DIV/0!</v>
      </c>
      <c r="AJ189" s="62" t="e">
        <f t="shared" si="270"/>
        <v>#DIV/0!</v>
      </c>
      <c r="AK189" s="62" t="e">
        <f t="shared" si="251"/>
        <v>#DIV/0!</v>
      </c>
      <c r="AL189" s="59" t="e">
        <f t="shared" si="264"/>
        <v>#DIV/0!</v>
      </c>
      <c r="AM189" s="101" t="e">
        <f t="shared" si="259"/>
        <v>#DIV/0!</v>
      </c>
      <c r="AN189" s="55"/>
      <c r="AP189" s="59" t="s">
        <v>58</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5"/>
        <v>#DIV/0!</v>
      </c>
      <c r="S190" s="62" t="e">
        <f t="shared" si="276"/>
        <v>#DIV/0!</v>
      </c>
      <c r="T190" s="62" t="e">
        <f t="shared" si="277"/>
        <v>#DIV/0!</v>
      </c>
      <c r="U190" s="62" t="e">
        <f t="shared" si="278"/>
        <v>#DIV/0!</v>
      </c>
      <c r="V190" s="62" t="e">
        <f t="shared" si="279"/>
        <v>#DIV/0!</v>
      </c>
      <c r="W190" s="59" t="e">
        <f t="shared" si="284"/>
        <v>#DIV/0!</v>
      </c>
      <c r="X190" s="101" t="e">
        <f t="shared" si="280"/>
        <v>#DIV/0!</v>
      </c>
      <c r="Y190" s="104"/>
      <c r="AA190" s="62" t="e">
        <f t="shared" si="281"/>
        <v>#DIV/0!</v>
      </c>
      <c r="AF190" s="62">
        <v>0.73</v>
      </c>
      <c r="AG190" s="62" t="e">
        <f t="shared" si="253"/>
        <v>#DIV/0!</v>
      </c>
      <c r="AH190" s="62" t="e">
        <f t="shared" si="254"/>
        <v>#DIV/0!</v>
      </c>
      <c r="AI190" s="62" t="e">
        <f t="shared" si="269"/>
        <v>#DIV/0!</v>
      </c>
      <c r="AJ190" s="62" t="e">
        <f t="shared" si="270"/>
        <v>#DIV/0!</v>
      </c>
      <c r="AK190" s="62" t="e">
        <f t="shared" si="251"/>
        <v>#DIV/0!</v>
      </c>
      <c r="AL190" s="59" t="e">
        <f t="shared" si="264"/>
        <v>#DIV/0!</v>
      </c>
      <c r="AM190" s="101" t="e">
        <f t="shared" si="259"/>
        <v>#DIV/0!</v>
      </c>
      <c r="AN190" s="55"/>
      <c r="AP190" s="59" t="s">
        <v>298</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5"/>
        <v>#DIV/0!</v>
      </c>
      <c r="S191" s="62" t="e">
        <f t="shared" si="276"/>
        <v>#DIV/0!</v>
      </c>
      <c r="T191" s="62" t="e">
        <f t="shared" si="277"/>
        <v>#DIV/0!</v>
      </c>
      <c r="U191" s="62" t="e">
        <f t="shared" si="278"/>
        <v>#DIV/0!</v>
      </c>
      <c r="V191" s="62" t="e">
        <f t="shared" si="279"/>
        <v>#DIV/0!</v>
      </c>
      <c r="W191" s="59" t="e">
        <f t="shared" si="284"/>
        <v>#DIV/0!</v>
      </c>
      <c r="X191" s="101" t="e">
        <f t="shared" si="280"/>
        <v>#DIV/0!</v>
      </c>
      <c r="Y191" s="104"/>
      <c r="AA191" s="62" t="e">
        <f t="shared" si="281"/>
        <v>#DIV/0!</v>
      </c>
      <c r="AF191" s="62">
        <v>0.72</v>
      </c>
      <c r="AG191" s="62" t="e">
        <f t="shared" si="253"/>
        <v>#DIV/0!</v>
      </c>
      <c r="AH191" s="62" t="e">
        <f t="shared" si="254"/>
        <v>#DIV/0!</v>
      </c>
      <c r="AI191" s="62" t="e">
        <f t="shared" si="269"/>
        <v>#DIV/0!</v>
      </c>
      <c r="AJ191" s="62" t="e">
        <f t="shared" si="270"/>
        <v>#DIV/0!</v>
      </c>
      <c r="AK191" s="62" t="e">
        <f t="shared" si="251"/>
        <v>#DIV/0!</v>
      </c>
      <c r="AL191" s="59" t="e">
        <f t="shared" si="264"/>
        <v>#DIV/0!</v>
      </c>
      <c r="AM191" s="101" t="e">
        <f t="shared" si="259"/>
        <v>#DIV/0!</v>
      </c>
      <c r="AN191" s="55"/>
      <c r="AP191" s="59" t="s">
        <v>295</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5"/>
        <v>#DIV/0!</v>
      </c>
      <c r="S192" s="62" t="e">
        <f t="shared" si="276"/>
        <v>#DIV/0!</v>
      </c>
      <c r="T192" s="62" t="e">
        <f t="shared" si="277"/>
        <v>#DIV/0!</v>
      </c>
      <c r="U192" s="62" t="e">
        <f t="shared" si="278"/>
        <v>#DIV/0!</v>
      </c>
      <c r="V192" s="62" t="e">
        <f t="shared" si="279"/>
        <v>#DIV/0!</v>
      </c>
      <c r="W192" s="59" t="e">
        <f t="shared" si="284"/>
        <v>#DIV/0!</v>
      </c>
      <c r="X192" s="101" t="e">
        <f t="shared" si="280"/>
        <v>#DIV/0!</v>
      </c>
      <c r="Y192" s="104"/>
      <c r="AA192" s="62" t="e">
        <f t="shared" si="281"/>
        <v>#DIV/0!</v>
      </c>
      <c r="AF192" s="62">
        <v>0.71</v>
      </c>
      <c r="AG192" s="62" t="e">
        <f t="shared" si="253"/>
        <v>#DIV/0!</v>
      </c>
      <c r="AH192" s="62" t="e">
        <f t="shared" si="254"/>
        <v>#DIV/0!</v>
      </c>
      <c r="AI192" s="62" t="e">
        <f t="shared" si="269"/>
        <v>#DIV/0!</v>
      </c>
      <c r="AJ192" s="62" t="e">
        <f t="shared" si="270"/>
        <v>#DIV/0!</v>
      </c>
      <c r="AK192" s="62" t="e">
        <f t="shared" si="251"/>
        <v>#DIV/0!</v>
      </c>
      <c r="AL192" s="59" t="e">
        <f t="shared" si="264"/>
        <v>#DIV/0!</v>
      </c>
      <c r="AM192" s="101" t="e">
        <f t="shared" si="259"/>
        <v>#DIV/0!</v>
      </c>
      <c r="AN192" s="55"/>
      <c r="AP192" s="59" t="s">
        <v>64</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5"/>
        <v>#DIV/0!</v>
      </c>
      <c r="S193" s="62" t="e">
        <f t="shared" si="276"/>
        <v>#DIV/0!</v>
      </c>
      <c r="T193" s="62" t="e">
        <f t="shared" si="277"/>
        <v>#DIV/0!</v>
      </c>
      <c r="U193" s="62" t="e">
        <f t="shared" si="278"/>
        <v>#DIV/0!</v>
      </c>
      <c r="V193" s="62" t="e">
        <f t="shared" si="279"/>
        <v>#DIV/0!</v>
      </c>
      <c r="W193" s="59" t="e">
        <f t="shared" si="284"/>
        <v>#DIV/0!</v>
      </c>
      <c r="X193" s="101" t="e">
        <f t="shared" si="280"/>
        <v>#DIV/0!</v>
      </c>
      <c r="Y193" s="104"/>
      <c r="AA193" s="62" t="e">
        <f t="shared" si="281"/>
        <v>#DIV/0!</v>
      </c>
      <c r="AF193" s="62">
        <v>0.7</v>
      </c>
      <c r="AG193" s="62" t="e">
        <f t="shared" si="253"/>
        <v>#DIV/0!</v>
      </c>
      <c r="AH193" s="62" t="e">
        <f t="shared" si="254"/>
        <v>#DIV/0!</v>
      </c>
      <c r="AI193" s="62" t="e">
        <f t="shared" si="269"/>
        <v>#DIV/0!</v>
      </c>
      <c r="AJ193" s="62" t="e">
        <f t="shared" si="270"/>
        <v>#DIV/0!</v>
      </c>
      <c r="AK193" s="62" t="e">
        <f t="shared" si="251"/>
        <v>#DIV/0!</v>
      </c>
      <c r="AL193" s="59" t="e">
        <f t="shared" si="264"/>
        <v>#DIV/0!</v>
      </c>
      <c r="AM193" s="101" t="e">
        <f t="shared" si="259"/>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5"/>
        <v>#DIV/0!</v>
      </c>
      <c r="S194" s="62" t="e">
        <f t="shared" si="276"/>
        <v>#DIV/0!</v>
      </c>
      <c r="T194" s="62" t="e">
        <f t="shared" si="277"/>
        <v>#DIV/0!</v>
      </c>
      <c r="U194" s="62" t="e">
        <f t="shared" si="278"/>
        <v>#DIV/0!</v>
      </c>
      <c r="V194" s="62" t="e">
        <f t="shared" si="279"/>
        <v>#DIV/0!</v>
      </c>
      <c r="W194" s="59" t="e">
        <f t="shared" si="284"/>
        <v>#DIV/0!</v>
      </c>
      <c r="X194" s="101" t="e">
        <f t="shared" si="280"/>
        <v>#DIV/0!</v>
      </c>
      <c r="Y194" s="104"/>
      <c r="AA194" s="62" t="e">
        <f t="shared" si="281"/>
        <v>#DIV/0!</v>
      </c>
      <c r="AF194" s="62">
        <v>0.69</v>
      </c>
      <c r="AG194" s="62" t="e">
        <f t="shared" si="253"/>
        <v>#DIV/0!</v>
      </c>
      <c r="AH194" s="62" t="e">
        <f t="shared" si="254"/>
        <v>#DIV/0!</v>
      </c>
      <c r="AI194" s="62" t="e">
        <f t="shared" si="269"/>
        <v>#DIV/0!</v>
      </c>
      <c r="AJ194" s="62" t="e">
        <f t="shared" si="270"/>
        <v>#DIV/0!</v>
      </c>
      <c r="AK194" s="62" t="e">
        <f t="shared" si="251"/>
        <v>#DIV/0!</v>
      </c>
      <c r="AL194" s="59" t="e">
        <f t="shared" si="264"/>
        <v>#DIV/0!</v>
      </c>
      <c r="AM194" s="101" t="e">
        <f t="shared" si="259"/>
        <v>#DIV/0!</v>
      </c>
      <c r="AN194" s="55"/>
      <c r="AP194" s="53" t="s">
        <v>40</v>
      </c>
      <c r="BI194" s="53" t="s">
        <v>40</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5"/>
        <v>#DIV/0!</v>
      </c>
      <c r="S195" s="62" t="e">
        <f t="shared" si="276"/>
        <v>#DIV/0!</v>
      </c>
      <c r="T195" s="62" t="e">
        <f t="shared" si="277"/>
        <v>#DIV/0!</v>
      </c>
      <c r="U195" s="62" t="e">
        <f t="shared" si="278"/>
        <v>#DIV/0!</v>
      </c>
      <c r="V195" s="62" t="e">
        <f t="shared" si="279"/>
        <v>#DIV/0!</v>
      </c>
      <c r="W195" s="59" t="e">
        <f t="shared" si="284"/>
        <v>#DIV/0!</v>
      </c>
      <c r="X195" s="101" t="e">
        <f t="shared" si="280"/>
        <v>#DIV/0!</v>
      </c>
      <c r="Y195" s="104"/>
      <c r="AA195" s="62" t="e">
        <f t="shared" si="281"/>
        <v>#DIV/0!</v>
      </c>
      <c r="AF195" s="62">
        <v>0.68</v>
      </c>
      <c r="AG195" s="62" t="e">
        <f t="shared" si="253"/>
        <v>#DIV/0!</v>
      </c>
      <c r="AH195" s="62" t="e">
        <f t="shared" si="254"/>
        <v>#DIV/0!</v>
      </c>
      <c r="AI195" s="62" t="e">
        <f t="shared" si="269"/>
        <v>#DIV/0!</v>
      </c>
      <c r="AJ195" s="62" t="e">
        <f t="shared" si="270"/>
        <v>#DIV/0!</v>
      </c>
      <c r="AK195" s="62" t="e">
        <f t="shared" ref="AK195:AK226" si="285">AI195*AJ195</f>
        <v>#DIV/0!</v>
      </c>
      <c r="AL195" s="59" t="e">
        <f t="shared" si="264"/>
        <v>#DIV/0!</v>
      </c>
      <c r="AM195" s="101" t="e">
        <f t="shared" si="259"/>
        <v>#DIV/0!</v>
      </c>
      <c r="AN195" s="55"/>
      <c r="AP195" s="67" t="s">
        <v>17</v>
      </c>
      <c r="AQ195" s="59"/>
      <c r="AR195" s="63" t="str">
        <f t="shared" ref="AR195:BF195" si="286">IF(AR9="","",(1/(1+EXP($AT$181-AR9/$AT$178)^$AT$180))*((AR9-$AT$178)/$AT$179)+(1/(1+EXP(AR9/$AT$178-$AT$181)^$AT$180))*((($AT$175-AR9)*$AT$177)/(AR9+$AT$176)))</f>
        <v/>
      </c>
      <c r="AS195" s="63" t="str">
        <f t="shared" si="286"/>
        <v/>
      </c>
      <c r="AT195" s="63" t="str">
        <f t="shared" si="286"/>
        <v/>
      </c>
      <c r="AU195" s="63" t="str">
        <f t="shared" si="286"/>
        <v/>
      </c>
      <c r="AV195" s="63" t="str">
        <f t="shared" si="286"/>
        <v/>
      </c>
      <c r="AW195" s="63" t="str">
        <f t="shared" si="286"/>
        <v/>
      </c>
      <c r="AX195" s="63" t="str">
        <f t="shared" si="286"/>
        <v/>
      </c>
      <c r="AY195" s="63" t="str">
        <f t="shared" si="286"/>
        <v/>
      </c>
      <c r="AZ195" s="63" t="str">
        <f t="shared" si="286"/>
        <v/>
      </c>
      <c r="BA195" s="63" t="str">
        <f t="shared" si="286"/>
        <v/>
      </c>
      <c r="BB195" s="63" t="str">
        <f t="shared" si="286"/>
        <v/>
      </c>
      <c r="BC195" s="63" t="str">
        <f t="shared" si="286"/>
        <v/>
      </c>
      <c r="BD195" s="63" t="str">
        <f t="shared" si="286"/>
        <v/>
      </c>
      <c r="BE195" s="63" t="str">
        <f t="shared" si="286"/>
        <v/>
      </c>
      <c r="BF195" s="63" t="str">
        <f t="shared" si="286"/>
        <v/>
      </c>
      <c r="BI195" s="67" t="s">
        <v>17</v>
      </c>
      <c r="BJ195" s="59"/>
      <c r="BK195" s="62" t="e">
        <f t="shared" ref="BK195:BY195" si="287">IF(AR9="",NA(),(1/(1+EXP($AT$181-AR9/$AT$178)^$AT$180))*((AR9-$AT$178)/$AT$179)+(1/(1+EXP(AR9/$AT$178-$AT$181)^$AT$180))*((($AT$175-AR9)*$AT$177)/(AR9+$AT$176)))</f>
        <v>#N/A</v>
      </c>
      <c r="BL195" s="62" t="e">
        <f t="shared" si="287"/>
        <v>#N/A</v>
      </c>
      <c r="BM195" s="62" t="e">
        <f t="shared" si="287"/>
        <v>#N/A</v>
      </c>
      <c r="BN195" s="62" t="e">
        <f t="shared" si="287"/>
        <v>#N/A</v>
      </c>
      <c r="BO195" s="62" t="e">
        <f t="shared" si="287"/>
        <v>#N/A</v>
      </c>
      <c r="BP195" s="62" t="e">
        <f t="shared" si="287"/>
        <v>#N/A</v>
      </c>
      <c r="BQ195" s="62" t="e">
        <f t="shared" si="287"/>
        <v>#N/A</v>
      </c>
      <c r="BR195" s="62" t="e">
        <f t="shared" si="287"/>
        <v>#N/A</v>
      </c>
      <c r="BS195" s="62" t="e">
        <f t="shared" si="287"/>
        <v>#N/A</v>
      </c>
      <c r="BT195" s="62" t="e">
        <f t="shared" si="287"/>
        <v>#N/A</v>
      </c>
      <c r="BU195" s="62" t="e">
        <f t="shared" si="287"/>
        <v>#N/A</v>
      </c>
      <c r="BV195" s="62" t="e">
        <f t="shared" si="287"/>
        <v>#N/A</v>
      </c>
      <c r="BW195" s="62" t="e">
        <f t="shared" si="287"/>
        <v>#N/A</v>
      </c>
      <c r="BX195" s="62" t="e">
        <f t="shared" si="287"/>
        <v>#N/A</v>
      </c>
      <c r="BY195" s="62" t="e">
        <f t="shared" si="287"/>
        <v>#N/A</v>
      </c>
    </row>
    <row r="196" spans="15:77" x14ac:dyDescent="0.5">
      <c r="O196" s="17"/>
      <c r="Q196" s="62">
        <v>0.13999999999999899</v>
      </c>
      <c r="R196" s="62" t="e">
        <f t="shared" si="275"/>
        <v>#DIV/0!</v>
      </c>
      <c r="S196" s="62" t="e">
        <f t="shared" si="276"/>
        <v>#DIV/0!</v>
      </c>
      <c r="T196" s="62" t="e">
        <f t="shared" si="277"/>
        <v>#DIV/0!</v>
      </c>
      <c r="U196" s="62" t="e">
        <f t="shared" si="278"/>
        <v>#DIV/0!</v>
      </c>
      <c r="V196" s="62" t="e">
        <f t="shared" si="279"/>
        <v>#DIV/0!</v>
      </c>
      <c r="W196" s="59" t="e">
        <f t="shared" si="284"/>
        <v>#DIV/0!</v>
      </c>
      <c r="X196" s="101" t="e">
        <f t="shared" si="280"/>
        <v>#DIV/0!</v>
      </c>
      <c r="Y196" s="104"/>
      <c r="AA196" s="62" t="e">
        <f t="shared" si="281"/>
        <v>#DIV/0!</v>
      </c>
      <c r="AF196" s="62">
        <v>0.67</v>
      </c>
      <c r="AG196" s="62" t="e">
        <f t="shared" si="253"/>
        <v>#DIV/0!</v>
      </c>
      <c r="AH196" s="62" t="e">
        <f t="shared" si="254"/>
        <v>#DIV/0!</v>
      </c>
      <c r="AI196" s="62" t="e">
        <f t="shared" si="269"/>
        <v>#DIV/0!</v>
      </c>
      <c r="AJ196" s="62" t="e">
        <f t="shared" si="270"/>
        <v>#DIV/0!</v>
      </c>
      <c r="AK196" s="62" t="e">
        <f t="shared" si="285"/>
        <v>#DIV/0!</v>
      </c>
      <c r="AL196" s="59" t="e">
        <f t="shared" si="264"/>
        <v>#DIV/0!</v>
      </c>
      <c r="AM196" s="101" t="e">
        <f t="shared" si="259"/>
        <v>#DIV/0!</v>
      </c>
      <c r="AN196" s="55"/>
      <c r="AP196" s="59" t="s">
        <v>35</v>
      </c>
      <c r="AQ196" s="59"/>
      <c r="AR196" s="63" t="str">
        <f t="shared" ref="AR196:BF196" si="288">IF(AR9="","",AR195-$AP$4)</f>
        <v/>
      </c>
      <c r="AS196" s="63" t="str">
        <f t="shared" si="288"/>
        <v/>
      </c>
      <c r="AT196" s="63" t="str">
        <f t="shared" si="288"/>
        <v/>
      </c>
      <c r="AU196" s="63" t="str">
        <f t="shared" si="288"/>
        <v/>
      </c>
      <c r="AV196" s="63" t="str">
        <f t="shared" si="288"/>
        <v/>
      </c>
      <c r="AW196" s="63" t="str">
        <f t="shared" si="288"/>
        <v/>
      </c>
      <c r="AX196" s="63" t="str">
        <f t="shared" si="288"/>
        <v/>
      </c>
      <c r="AY196" s="63" t="str">
        <f t="shared" si="288"/>
        <v/>
      </c>
      <c r="AZ196" s="63" t="str">
        <f t="shared" si="288"/>
        <v/>
      </c>
      <c r="BA196" s="63" t="str">
        <f t="shared" si="288"/>
        <v/>
      </c>
      <c r="BB196" s="63" t="str">
        <f t="shared" si="288"/>
        <v/>
      </c>
      <c r="BC196" s="63" t="str">
        <f t="shared" si="288"/>
        <v/>
      </c>
      <c r="BD196" s="63" t="str">
        <f t="shared" si="288"/>
        <v/>
      </c>
      <c r="BE196" s="63" t="str">
        <f t="shared" si="288"/>
        <v/>
      </c>
      <c r="BF196" s="63" t="str">
        <f t="shared" si="288"/>
        <v/>
      </c>
      <c r="BI196" s="59" t="s">
        <v>35</v>
      </c>
      <c r="BJ196" s="59"/>
      <c r="BK196" s="62" t="e">
        <f t="shared" ref="BK196:BY196" si="289">IF(AR9="",NA(),AR195-$AP$4)</f>
        <v>#N/A</v>
      </c>
      <c r="BL196" s="62" t="e">
        <f t="shared" si="289"/>
        <v>#N/A</v>
      </c>
      <c r="BM196" s="62" t="e">
        <f t="shared" si="289"/>
        <v>#N/A</v>
      </c>
      <c r="BN196" s="62" t="e">
        <f t="shared" si="289"/>
        <v>#N/A</v>
      </c>
      <c r="BO196" s="62" t="e">
        <f t="shared" si="289"/>
        <v>#N/A</v>
      </c>
      <c r="BP196" s="62" t="e">
        <f t="shared" si="289"/>
        <v>#N/A</v>
      </c>
      <c r="BQ196" s="62" t="e">
        <f t="shared" si="289"/>
        <v>#N/A</v>
      </c>
      <c r="BR196" s="62" t="e">
        <f t="shared" si="289"/>
        <v>#N/A</v>
      </c>
      <c r="BS196" s="62" t="e">
        <f t="shared" si="289"/>
        <v>#N/A</v>
      </c>
      <c r="BT196" s="62" t="e">
        <f t="shared" si="289"/>
        <v>#N/A</v>
      </c>
      <c r="BU196" s="62" t="e">
        <f t="shared" si="289"/>
        <v>#N/A</v>
      </c>
      <c r="BV196" s="62" t="e">
        <f t="shared" si="289"/>
        <v>#N/A</v>
      </c>
      <c r="BW196" s="62" t="e">
        <f t="shared" si="289"/>
        <v>#N/A</v>
      </c>
      <c r="BX196" s="62" t="e">
        <f t="shared" si="289"/>
        <v>#N/A</v>
      </c>
      <c r="BY196" s="62" t="e">
        <f t="shared" si="289"/>
        <v>#N/A</v>
      </c>
    </row>
    <row r="197" spans="15:77" x14ac:dyDescent="0.5">
      <c r="O197" s="17"/>
      <c r="Q197" s="62">
        <v>0.12999999999999901</v>
      </c>
      <c r="R197" s="62" t="e">
        <f t="shared" si="275"/>
        <v>#DIV/0!</v>
      </c>
      <c r="S197" s="62" t="e">
        <f t="shared" si="276"/>
        <v>#DIV/0!</v>
      </c>
      <c r="T197" s="62" t="e">
        <f t="shared" si="277"/>
        <v>#DIV/0!</v>
      </c>
      <c r="U197" s="62" t="e">
        <f t="shared" si="278"/>
        <v>#DIV/0!</v>
      </c>
      <c r="V197" s="62" t="e">
        <f t="shared" si="279"/>
        <v>#DIV/0!</v>
      </c>
      <c r="W197" s="59" t="e">
        <f t="shared" si="284"/>
        <v>#DIV/0!</v>
      </c>
      <c r="X197" s="101" t="e">
        <f t="shared" si="280"/>
        <v>#DIV/0!</v>
      </c>
      <c r="Y197" s="104"/>
      <c r="AA197" s="62" t="e">
        <f t="shared" si="281"/>
        <v>#DIV/0!</v>
      </c>
      <c r="AF197" s="62">
        <v>0.66</v>
      </c>
      <c r="AG197" s="62" t="e">
        <f t="shared" si="253"/>
        <v>#DIV/0!</v>
      </c>
      <c r="AH197" s="62" t="e">
        <f t="shared" si="254"/>
        <v>#DIV/0!</v>
      </c>
      <c r="AI197" s="62" t="e">
        <f t="shared" si="269"/>
        <v>#DIV/0!</v>
      </c>
      <c r="AJ197" s="62" t="e">
        <f t="shared" si="270"/>
        <v>#DIV/0!</v>
      </c>
      <c r="AK197" s="62" t="e">
        <f t="shared" si="285"/>
        <v>#DIV/0!</v>
      </c>
      <c r="AL197" s="59" t="e">
        <f t="shared" si="264"/>
        <v>#DIV/0!</v>
      </c>
      <c r="AM197" s="101" t="e">
        <f t="shared" si="259"/>
        <v>#DIV/0!</v>
      </c>
      <c r="AN197" s="55"/>
      <c r="AP197" s="59" t="s">
        <v>36</v>
      </c>
      <c r="AQ197" s="59"/>
      <c r="AR197" s="63" t="str">
        <f t="shared" ref="AR197:BF197" si="290">IF(AR9="","",AR195+$AP$4)</f>
        <v/>
      </c>
      <c r="AS197" s="63" t="str">
        <f t="shared" si="290"/>
        <v/>
      </c>
      <c r="AT197" s="63" t="str">
        <f t="shared" si="290"/>
        <v/>
      </c>
      <c r="AU197" s="63" t="str">
        <f t="shared" si="290"/>
        <v/>
      </c>
      <c r="AV197" s="63" t="str">
        <f t="shared" si="290"/>
        <v/>
      </c>
      <c r="AW197" s="63" t="str">
        <f t="shared" si="290"/>
        <v/>
      </c>
      <c r="AX197" s="63" t="str">
        <f t="shared" si="290"/>
        <v/>
      </c>
      <c r="AY197" s="63" t="str">
        <f t="shared" si="290"/>
        <v/>
      </c>
      <c r="AZ197" s="63" t="str">
        <f t="shared" si="290"/>
        <v/>
      </c>
      <c r="BA197" s="63" t="str">
        <f t="shared" si="290"/>
        <v/>
      </c>
      <c r="BB197" s="63" t="str">
        <f t="shared" si="290"/>
        <v/>
      </c>
      <c r="BC197" s="63" t="str">
        <f t="shared" si="290"/>
        <v/>
      </c>
      <c r="BD197" s="63" t="str">
        <f t="shared" si="290"/>
        <v/>
      </c>
      <c r="BE197" s="63" t="str">
        <f t="shared" si="290"/>
        <v/>
      </c>
      <c r="BF197" s="63" t="str">
        <f t="shared" si="290"/>
        <v/>
      </c>
      <c r="BI197" s="59" t="s">
        <v>36</v>
      </c>
      <c r="BJ197" s="59"/>
      <c r="BK197" s="62" t="e">
        <f t="shared" ref="BK197:BY197" si="291">IF(AR9="",NA(),AR195+$AP$4)</f>
        <v>#N/A</v>
      </c>
      <c r="BL197" s="62" t="e">
        <f t="shared" si="291"/>
        <v>#N/A</v>
      </c>
      <c r="BM197" s="62" t="e">
        <f t="shared" si="291"/>
        <v>#N/A</v>
      </c>
      <c r="BN197" s="62" t="e">
        <f t="shared" si="291"/>
        <v>#N/A</v>
      </c>
      <c r="BO197" s="62" t="e">
        <f t="shared" si="291"/>
        <v>#N/A</v>
      </c>
      <c r="BP197" s="62" t="e">
        <f t="shared" si="291"/>
        <v>#N/A</v>
      </c>
      <c r="BQ197" s="62" t="e">
        <f t="shared" si="291"/>
        <v>#N/A</v>
      </c>
      <c r="BR197" s="62" t="e">
        <f t="shared" si="291"/>
        <v>#N/A</v>
      </c>
      <c r="BS197" s="62" t="e">
        <f t="shared" si="291"/>
        <v>#N/A</v>
      </c>
      <c r="BT197" s="62" t="e">
        <f t="shared" si="291"/>
        <v>#N/A</v>
      </c>
      <c r="BU197" s="62" t="e">
        <f t="shared" si="291"/>
        <v>#N/A</v>
      </c>
      <c r="BV197" s="62" t="e">
        <f t="shared" si="291"/>
        <v>#N/A</v>
      </c>
      <c r="BW197" s="62" t="e">
        <f t="shared" si="291"/>
        <v>#N/A</v>
      </c>
      <c r="BX197" s="62" t="e">
        <f t="shared" si="291"/>
        <v>#N/A</v>
      </c>
      <c r="BY197" s="62" t="e">
        <f t="shared" si="291"/>
        <v>#N/A</v>
      </c>
    </row>
    <row r="198" spans="15:77" x14ac:dyDescent="0.5">
      <c r="O198" s="17"/>
      <c r="Q198" s="62">
        <v>0.119999999999999</v>
      </c>
      <c r="R198" s="62" t="e">
        <f t="shared" si="275"/>
        <v>#DIV/0!</v>
      </c>
      <c r="S198" s="62" t="e">
        <f t="shared" si="276"/>
        <v>#DIV/0!</v>
      </c>
      <c r="T198" s="62" t="e">
        <f t="shared" si="277"/>
        <v>#DIV/0!</v>
      </c>
      <c r="U198" s="62" t="e">
        <f t="shared" si="278"/>
        <v>#DIV/0!</v>
      </c>
      <c r="V198" s="62" t="e">
        <f t="shared" si="279"/>
        <v>#DIV/0!</v>
      </c>
      <c r="W198" s="59" t="e">
        <f t="shared" si="284"/>
        <v>#DIV/0!</v>
      </c>
      <c r="X198" s="101" t="e">
        <f t="shared" si="280"/>
        <v>#DIV/0!</v>
      </c>
      <c r="Y198" s="104"/>
      <c r="AA198" s="62" t="e">
        <f t="shared" si="281"/>
        <v>#DIV/0!</v>
      </c>
      <c r="AF198" s="62">
        <v>0.65</v>
      </c>
      <c r="AG198" s="62" t="e">
        <f t="shared" si="253"/>
        <v>#DIV/0!</v>
      </c>
      <c r="AH198" s="62" t="e">
        <f t="shared" si="254"/>
        <v>#DIV/0!</v>
      </c>
      <c r="AI198" s="62" t="e">
        <f t="shared" si="269"/>
        <v>#DIV/0!</v>
      </c>
      <c r="AJ198" s="62" t="e">
        <f t="shared" si="270"/>
        <v>#DIV/0!</v>
      </c>
      <c r="AK198" s="62" t="e">
        <f t="shared" si="285"/>
        <v>#DIV/0!</v>
      </c>
      <c r="AL198" s="59" t="e">
        <f t="shared" si="264"/>
        <v>#DIV/0!</v>
      </c>
      <c r="AM198" s="101" t="e">
        <f t="shared" si="259"/>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5"/>
        <v>#DIV/0!</v>
      </c>
      <c r="S199" s="62" t="e">
        <f t="shared" si="276"/>
        <v>#DIV/0!</v>
      </c>
      <c r="T199" s="62" t="e">
        <f t="shared" si="277"/>
        <v>#DIV/0!</v>
      </c>
      <c r="U199" s="62" t="e">
        <f t="shared" si="278"/>
        <v>#DIV/0!</v>
      </c>
      <c r="V199" s="62" t="e">
        <f t="shared" si="279"/>
        <v>#DIV/0!</v>
      </c>
      <c r="W199" s="59" t="e">
        <f t="shared" si="284"/>
        <v>#DIV/0!</v>
      </c>
      <c r="X199" s="101" t="e">
        <f t="shared" si="280"/>
        <v>#DIV/0!</v>
      </c>
      <c r="Y199" s="104"/>
      <c r="AA199" s="62" t="e">
        <f t="shared" si="281"/>
        <v>#DIV/0!</v>
      </c>
      <c r="AF199" s="62">
        <v>0.64</v>
      </c>
      <c r="AG199" s="62" t="e">
        <f t="shared" si="253"/>
        <v>#DIV/0!</v>
      </c>
      <c r="AH199" s="62" t="e">
        <f t="shared" si="254"/>
        <v>#DIV/0!</v>
      </c>
      <c r="AI199" s="62" t="e">
        <f t="shared" si="269"/>
        <v>#DIV/0!</v>
      </c>
      <c r="AJ199" s="62" t="e">
        <f t="shared" si="270"/>
        <v>#DIV/0!</v>
      </c>
      <c r="AK199" s="62" t="e">
        <f t="shared" si="285"/>
        <v>#DIV/0!</v>
      </c>
      <c r="AL199" s="59" t="e">
        <f t="shared" si="264"/>
        <v>#DIV/0!</v>
      </c>
      <c r="AM199" s="101" t="e">
        <f t="shared" si="259"/>
        <v>#DIV/0!</v>
      </c>
      <c r="AN199" s="55"/>
      <c r="AP199" s="67" t="s">
        <v>252</v>
      </c>
      <c r="AQ199" s="59"/>
      <c r="AR199" s="63" t="str">
        <f t="shared" ref="AR199:BF199" si="292">IF(AR9="","",AR9*AR195)</f>
        <v/>
      </c>
      <c r="AS199" s="63" t="str">
        <f t="shared" si="292"/>
        <v/>
      </c>
      <c r="AT199" s="63" t="str">
        <f t="shared" si="292"/>
        <v/>
      </c>
      <c r="AU199" s="63" t="str">
        <f t="shared" si="292"/>
        <v/>
      </c>
      <c r="AV199" s="63" t="str">
        <f t="shared" si="292"/>
        <v/>
      </c>
      <c r="AW199" s="63" t="str">
        <f t="shared" si="292"/>
        <v/>
      </c>
      <c r="AX199" s="63" t="str">
        <f t="shared" si="292"/>
        <v/>
      </c>
      <c r="AY199" s="63" t="str">
        <f t="shared" si="292"/>
        <v/>
      </c>
      <c r="AZ199" s="63" t="str">
        <f t="shared" si="292"/>
        <v/>
      </c>
      <c r="BA199" s="63" t="str">
        <f t="shared" si="292"/>
        <v/>
      </c>
      <c r="BB199" s="63" t="str">
        <f t="shared" si="292"/>
        <v/>
      </c>
      <c r="BC199" s="63" t="str">
        <f t="shared" si="292"/>
        <v/>
      </c>
      <c r="BD199" s="63" t="str">
        <f t="shared" si="292"/>
        <v/>
      </c>
      <c r="BE199" s="63" t="str">
        <f t="shared" si="292"/>
        <v/>
      </c>
      <c r="BF199" s="63" t="str">
        <f t="shared" si="292"/>
        <v/>
      </c>
      <c r="BI199" s="67" t="s">
        <v>252</v>
      </c>
      <c r="BJ199" s="59"/>
      <c r="BK199" s="62" t="e">
        <f t="shared" ref="BK199:BY199" si="293">IF(AR9="",NA(),AR9*AR195)</f>
        <v>#N/A</v>
      </c>
      <c r="BL199" s="62" t="e">
        <f t="shared" si="293"/>
        <v>#N/A</v>
      </c>
      <c r="BM199" s="62" t="e">
        <f t="shared" si="293"/>
        <v>#N/A</v>
      </c>
      <c r="BN199" s="62" t="e">
        <f t="shared" si="293"/>
        <v>#N/A</v>
      </c>
      <c r="BO199" s="62" t="e">
        <f t="shared" si="293"/>
        <v>#N/A</v>
      </c>
      <c r="BP199" s="62" t="e">
        <f t="shared" si="293"/>
        <v>#N/A</v>
      </c>
      <c r="BQ199" s="62" t="e">
        <f t="shared" si="293"/>
        <v>#N/A</v>
      </c>
      <c r="BR199" s="62" t="e">
        <f t="shared" si="293"/>
        <v>#N/A</v>
      </c>
      <c r="BS199" s="62" t="e">
        <f t="shared" si="293"/>
        <v>#N/A</v>
      </c>
      <c r="BT199" s="62" t="e">
        <f t="shared" si="293"/>
        <v>#N/A</v>
      </c>
      <c r="BU199" s="62" t="e">
        <f t="shared" si="293"/>
        <v>#N/A</v>
      </c>
      <c r="BV199" s="62" t="e">
        <f t="shared" si="293"/>
        <v>#N/A</v>
      </c>
      <c r="BW199" s="62" t="e">
        <f t="shared" si="293"/>
        <v>#N/A</v>
      </c>
      <c r="BX199" s="62" t="e">
        <f t="shared" si="293"/>
        <v>#N/A</v>
      </c>
      <c r="BY199" s="62" t="e">
        <f t="shared" si="293"/>
        <v>#N/A</v>
      </c>
    </row>
    <row r="200" spans="15:77" x14ac:dyDescent="0.5">
      <c r="O200" s="17"/>
      <c r="Q200" s="62">
        <v>9.9999999999999006E-2</v>
      </c>
      <c r="R200" s="62" t="e">
        <f t="shared" si="275"/>
        <v>#DIV/0!</v>
      </c>
      <c r="S200" s="62" t="e">
        <f t="shared" si="276"/>
        <v>#DIV/0!</v>
      </c>
      <c r="T200" s="62" t="e">
        <f t="shared" si="277"/>
        <v>#DIV/0!</v>
      </c>
      <c r="U200" s="62" t="e">
        <f t="shared" si="278"/>
        <v>#DIV/0!</v>
      </c>
      <c r="V200" s="62" t="e">
        <f t="shared" si="279"/>
        <v>#DIV/0!</v>
      </c>
      <c r="W200" s="59" t="e">
        <f t="shared" si="284"/>
        <v>#DIV/0!</v>
      </c>
      <c r="X200" s="101" t="e">
        <f t="shared" si="280"/>
        <v>#DIV/0!</v>
      </c>
      <c r="Y200" s="104"/>
      <c r="AA200" s="62" t="e">
        <f t="shared" si="281"/>
        <v>#DIV/0!</v>
      </c>
      <c r="AF200" s="62">
        <v>0.63</v>
      </c>
      <c r="AG200" s="62" t="e">
        <f t="shared" si="253"/>
        <v>#DIV/0!</v>
      </c>
      <c r="AH200" s="62" t="e">
        <f t="shared" si="254"/>
        <v>#DIV/0!</v>
      </c>
      <c r="AI200" s="62" t="e">
        <f t="shared" si="269"/>
        <v>#DIV/0!</v>
      </c>
      <c r="AJ200" s="62" t="e">
        <f t="shared" si="270"/>
        <v>#DIV/0!</v>
      </c>
      <c r="AK200" s="62" t="e">
        <f t="shared" si="285"/>
        <v>#DIV/0!</v>
      </c>
      <c r="AL200" s="59" t="e">
        <f t="shared" si="264"/>
        <v>#DIV/0!</v>
      </c>
      <c r="AM200" s="101" t="e">
        <f t="shared" si="259"/>
        <v>#DIV/0!</v>
      </c>
      <c r="AN200" s="55"/>
      <c r="AP200" s="59" t="s">
        <v>253</v>
      </c>
      <c r="AQ200" s="59"/>
      <c r="AR200" s="63" t="str">
        <f t="shared" ref="AR200:BF200" si="294">IF(AR9="","",AR9*AR196)</f>
        <v/>
      </c>
      <c r="AS200" s="63" t="str">
        <f t="shared" si="294"/>
        <v/>
      </c>
      <c r="AT200" s="63" t="str">
        <f t="shared" si="294"/>
        <v/>
      </c>
      <c r="AU200" s="63" t="str">
        <f t="shared" si="294"/>
        <v/>
      </c>
      <c r="AV200" s="63" t="str">
        <f t="shared" si="294"/>
        <v/>
      </c>
      <c r="AW200" s="63" t="str">
        <f t="shared" si="294"/>
        <v/>
      </c>
      <c r="AX200" s="63" t="str">
        <f t="shared" si="294"/>
        <v/>
      </c>
      <c r="AY200" s="63" t="str">
        <f t="shared" si="294"/>
        <v/>
      </c>
      <c r="AZ200" s="63" t="str">
        <f t="shared" si="294"/>
        <v/>
      </c>
      <c r="BA200" s="63" t="str">
        <f t="shared" si="294"/>
        <v/>
      </c>
      <c r="BB200" s="63" t="str">
        <f t="shared" si="294"/>
        <v/>
      </c>
      <c r="BC200" s="63" t="str">
        <f t="shared" si="294"/>
        <v/>
      </c>
      <c r="BD200" s="63" t="str">
        <f t="shared" si="294"/>
        <v/>
      </c>
      <c r="BE200" s="63" t="str">
        <f t="shared" si="294"/>
        <v/>
      </c>
      <c r="BF200" s="63" t="str">
        <f t="shared" si="294"/>
        <v/>
      </c>
      <c r="BI200" s="59" t="s">
        <v>253</v>
      </c>
      <c r="BJ200" s="59"/>
      <c r="BK200" s="62" t="e">
        <f t="shared" ref="BK200:BY200" si="295">IF(AR9="",NA(),AR9*AR196)</f>
        <v>#N/A</v>
      </c>
      <c r="BL200" s="62" t="e">
        <f t="shared" si="295"/>
        <v>#N/A</v>
      </c>
      <c r="BM200" s="62" t="e">
        <f t="shared" si="295"/>
        <v>#N/A</v>
      </c>
      <c r="BN200" s="62" t="e">
        <f t="shared" si="295"/>
        <v>#N/A</v>
      </c>
      <c r="BO200" s="62" t="e">
        <f t="shared" si="295"/>
        <v>#N/A</v>
      </c>
      <c r="BP200" s="62" t="e">
        <f t="shared" si="295"/>
        <v>#N/A</v>
      </c>
      <c r="BQ200" s="62" t="e">
        <f t="shared" si="295"/>
        <v>#N/A</v>
      </c>
      <c r="BR200" s="62" t="e">
        <f t="shared" si="295"/>
        <v>#N/A</v>
      </c>
      <c r="BS200" s="62" t="e">
        <f t="shared" si="295"/>
        <v>#N/A</v>
      </c>
      <c r="BT200" s="62" t="e">
        <f t="shared" si="295"/>
        <v>#N/A</v>
      </c>
      <c r="BU200" s="62" t="e">
        <f t="shared" si="295"/>
        <v>#N/A</v>
      </c>
      <c r="BV200" s="62" t="e">
        <f t="shared" si="295"/>
        <v>#N/A</v>
      </c>
      <c r="BW200" s="62" t="e">
        <f t="shared" si="295"/>
        <v>#N/A</v>
      </c>
      <c r="BX200" s="62" t="e">
        <f t="shared" si="295"/>
        <v>#N/A</v>
      </c>
      <c r="BY200" s="62" t="e">
        <f t="shared" si="295"/>
        <v>#N/A</v>
      </c>
    </row>
    <row r="201" spans="15:77" x14ac:dyDescent="0.5">
      <c r="O201" s="17"/>
      <c r="Q201" s="62">
        <v>8.9999999999998997E-2</v>
      </c>
      <c r="R201" s="62" t="e">
        <f t="shared" si="275"/>
        <v>#DIV/0!</v>
      </c>
      <c r="S201" s="62" t="e">
        <f t="shared" si="276"/>
        <v>#DIV/0!</v>
      </c>
      <c r="T201" s="62" t="e">
        <f t="shared" si="277"/>
        <v>#DIV/0!</v>
      </c>
      <c r="U201" s="62" t="e">
        <f t="shared" si="278"/>
        <v>#DIV/0!</v>
      </c>
      <c r="V201" s="62" t="e">
        <f t="shared" si="279"/>
        <v>#DIV/0!</v>
      </c>
      <c r="W201" s="59" t="e">
        <f t="shared" si="284"/>
        <v>#DIV/0!</v>
      </c>
      <c r="X201" s="101" t="e">
        <f t="shared" si="280"/>
        <v>#DIV/0!</v>
      </c>
      <c r="Y201" s="104"/>
      <c r="AA201" s="62" t="e">
        <f t="shared" si="281"/>
        <v>#DIV/0!</v>
      </c>
      <c r="AF201" s="62">
        <v>0.62</v>
      </c>
      <c r="AG201" s="62" t="e">
        <f t="shared" si="253"/>
        <v>#DIV/0!</v>
      </c>
      <c r="AH201" s="62" t="e">
        <f t="shared" si="254"/>
        <v>#DIV/0!</v>
      </c>
      <c r="AI201" s="62" t="e">
        <f t="shared" si="269"/>
        <v>#DIV/0!</v>
      </c>
      <c r="AJ201" s="62" t="e">
        <f t="shared" si="270"/>
        <v>#DIV/0!</v>
      </c>
      <c r="AK201" s="62" t="e">
        <f t="shared" si="285"/>
        <v>#DIV/0!</v>
      </c>
      <c r="AL201" s="59" t="e">
        <f t="shared" si="264"/>
        <v>#DIV/0!</v>
      </c>
      <c r="AM201" s="101" t="e">
        <f t="shared" si="259"/>
        <v>#DIV/0!</v>
      </c>
      <c r="AN201" s="55"/>
      <c r="AP201" s="59" t="s">
        <v>254</v>
      </c>
      <c r="AQ201" s="59"/>
      <c r="AR201" s="63" t="str">
        <f t="shared" ref="AR201:BF201" si="296">IF(AR9="","",AR9*AR197)</f>
        <v/>
      </c>
      <c r="AS201" s="63" t="str">
        <f t="shared" si="296"/>
        <v/>
      </c>
      <c r="AT201" s="63" t="str">
        <f t="shared" si="296"/>
        <v/>
      </c>
      <c r="AU201" s="63" t="str">
        <f t="shared" si="296"/>
        <v/>
      </c>
      <c r="AV201" s="63" t="str">
        <f t="shared" si="296"/>
        <v/>
      </c>
      <c r="AW201" s="63" t="str">
        <f t="shared" si="296"/>
        <v/>
      </c>
      <c r="AX201" s="63" t="str">
        <f t="shared" si="296"/>
        <v/>
      </c>
      <c r="AY201" s="63" t="str">
        <f t="shared" si="296"/>
        <v/>
      </c>
      <c r="AZ201" s="63" t="str">
        <f t="shared" si="296"/>
        <v/>
      </c>
      <c r="BA201" s="63" t="str">
        <f t="shared" si="296"/>
        <v/>
      </c>
      <c r="BB201" s="63" t="str">
        <f t="shared" si="296"/>
        <v/>
      </c>
      <c r="BC201" s="63" t="str">
        <f t="shared" si="296"/>
        <v/>
      </c>
      <c r="BD201" s="63" t="str">
        <f t="shared" si="296"/>
        <v/>
      </c>
      <c r="BE201" s="63" t="str">
        <f t="shared" si="296"/>
        <v/>
      </c>
      <c r="BF201" s="63" t="str">
        <f t="shared" si="296"/>
        <v/>
      </c>
      <c r="BI201" s="59" t="s">
        <v>254</v>
      </c>
      <c r="BJ201" s="59"/>
      <c r="BK201" s="62" t="e">
        <f t="shared" ref="BK201:BY201" si="297">IF(AR9="",NA(),AR9*AR197)</f>
        <v>#N/A</v>
      </c>
      <c r="BL201" s="62" t="e">
        <f t="shared" si="297"/>
        <v>#N/A</v>
      </c>
      <c r="BM201" s="62" t="e">
        <f t="shared" si="297"/>
        <v>#N/A</v>
      </c>
      <c r="BN201" s="62" t="e">
        <f t="shared" si="297"/>
        <v>#N/A</v>
      </c>
      <c r="BO201" s="62" t="e">
        <f t="shared" si="297"/>
        <v>#N/A</v>
      </c>
      <c r="BP201" s="62" t="e">
        <f t="shared" si="297"/>
        <v>#N/A</v>
      </c>
      <c r="BQ201" s="62" t="e">
        <f t="shared" si="297"/>
        <v>#N/A</v>
      </c>
      <c r="BR201" s="62" t="e">
        <f t="shared" si="297"/>
        <v>#N/A</v>
      </c>
      <c r="BS201" s="62" t="e">
        <f t="shared" si="297"/>
        <v>#N/A</v>
      </c>
      <c r="BT201" s="62" t="e">
        <f t="shared" si="297"/>
        <v>#N/A</v>
      </c>
      <c r="BU201" s="62" t="e">
        <f t="shared" si="297"/>
        <v>#N/A</v>
      </c>
      <c r="BV201" s="62" t="e">
        <f t="shared" si="297"/>
        <v>#N/A</v>
      </c>
      <c r="BW201" s="62" t="e">
        <f t="shared" si="297"/>
        <v>#N/A</v>
      </c>
      <c r="BX201" s="62" t="e">
        <f t="shared" si="297"/>
        <v>#N/A</v>
      </c>
      <c r="BY201" s="62" t="e">
        <f t="shared" si="297"/>
        <v>#N/A</v>
      </c>
    </row>
    <row r="202" spans="15:77" x14ac:dyDescent="0.5">
      <c r="O202" s="17"/>
      <c r="Q202" s="62">
        <v>7.9999999999999002E-2</v>
      </c>
      <c r="R202" s="62" t="e">
        <f t="shared" si="275"/>
        <v>#DIV/0!</v>
      </c>
      <c r="S202" s="62" t="e">
        <f t="shared" si="276"/>
        <v>#DIV/0!</v>
      </c>
      <c r="T202" s="62" t="e">
        <f t="shared" si="277"/>
        <v>#DIV/0!</v>
      </c>
      <c r="U202" s="62" t="e">
        <f t="shared" si="278"/>
        <v>#DIV/0!</v>
      </c>
      <c r="V202" s="62" t="e">
        <f t="shared" si="279"/>
        <v>#DIV/0!</v>
      </c>
      <c r="W202" s="59" t="e">
        <f t="shared" si="284"/>
        <v>#DIV/0!</v>
      </c>
      <c r="X202" s="101" t="e">
        <f t="shared" si="280"/>
        <v>#DIV/0!</v>
      </c>
      <c r="Y202" s="104"/>
      <c r="AA202" s="62" t="e">
        <f t="shared" si="281"/>
        <v>#DIV/0!</v>
      </c>
      <c r="AF202" s="62">
        <v>0.61</v>
      </c>
      <c r="AG202" s="62" t="e">
        <f t="shared" si="253"/>
        <v>#DIV/0!</v>
      </c>
      <c r="AH202" s="62" t="e">
        <f t="shared" si="254"/>
        <v>#DIV/0!</v>
      </c>
      <c r="AI202" s="62" t="e">
        <f t="shared" si="269"/>
        <v>#DIV/0!</v>
      </c>
      <c r="AJ202" s="62" t="e">
        <f t="shared" si="270"/>
        <v>#DIV/0!</v>
      </c>
      <c r="AK202" s="62" t="e">
        <f t="shared" si="285"/>
        <v>#DIV/0!</v>
      </c>
      <c r="AL202" s="59" t="e">
        <f t="shared" si="264"/>
        <v>#DIV/0!</v>
      </c>
      <c r="AM202" s="101" t="e">
        <f t="shared" si="259"/>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5"/>
        <v>#DIV/0!</v>
      </c>
      <c r="S203" s="62" t="e">
        <f t="shared" si="276"/>
        <v>#DIV/0!</v>
      </c>
      <c r="T203" s="62" t="e">
        <f t="shared" si="277"/>
        <v>#DIV/0!</v>
      </c>
      <c r="U203" s="62" t="e">
        <f t="shared" si="278"/>
        <v>#DIV/0!</v>
      </c>
      <c r="V203" s="62" t="e">
        <f t="shared" si="279"/>
        <v>#DIV/0!</v>
      </c>
      <c r="W203" s="59" t="e">
        <f t="shared" si="284"/>
        <v>#DIV/0!</v>
      </c>
      <c r="X203" s="101" t="e">
        <f t="shared" si="280"/>
        <v>#DIV/0!</v>
      </c>
      <c r="Y203" s="104"/>
      <c r="AA203" s="62" t="e">
        <f t="shared" si="281"/>
        <v>#DIV/0!</v>
      </c>
      <c r="AF203" s="62">
        <v>0.6</v>
      </c>
      <c r="AG203" s="62" t="e">
        <f t="shared" si="253"/>
        <v>#DIV/0!</v>
      </c>
      <c r="AH203" s="62" t="e">
        <f t="shared" si="254"/>
        <v>#DIV/0!</v>
      </c>
      <c r="AI203" s="62" t="e">
        <f t="shared" si="269"/>
        <v>#DIV/0!</v>
      </c>
      <c r="AJ203" s="62" t="e">
        <f t="shared" si="270"/>
        <v>#DIV/0!</v>
      </c>
      <c r="AK203" s="62" t="e">
        <f t="shared" si="285"/>
        <v>#DIV/0!</v>
      </c>
      <c r="AL203" s="59" t="e">
        <f t="shared" si="264"/>
        <v>#DIV/0!</v>
      </c>
      <c r="AM203" s="101" t="e">
        <f t="shared" si="259"/>
        <v>#DIV/0!</v>
      </c>
      <c r="AN203" s="55"/>
      <c r="AP203" s="53" t="s">
        <v>41</v>
      </c>
      <c r="BI203" s="53" t="s">
        <v>41</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5"/>
        <v>#DIV/0!</v>
      </c>
      <c r="S204" s="62" t="e">
        <f t="shared" si="276"/>
        <v>#DIV/0!</v>
      </c>
      <c r="T204" s="62" t="e">
        <f t="shared" si="277"/>
        <v>#DIV/0!</v>
      </c>
      <c r="U204" s="62" t="e">
        <f t="shared" si="278"/>
        <v>#DIV/0!</v>
      </c>
      <c r="V204" s="62" t="e">
        <f t="shared" si="279"/>
        <v>#DIV/0!</v>
      </c>
      <c r="W204" s="59" t="e">
        <f t="shared" si="284"/>
        <v>#DIV/0!</v>
      </c>
      <c r="X204" s="101" t="e">
        <f t="shared" si="280"/>
        <v>#DIV/0!</v>
      </c>
      <c r="Y204" s="104"/>
      <c r="AA204" s="62" t="e">
        <f t="shared" si="281"/>
        <v>#DIV/0!</v>
      </c>
      <c r="AF204" s="62">
        <v>0.59</v>
      </c>
      <c r="AG204" s="62" t="e">
        <f t="shared" si="253"/>
        <v>#DIV/0!</v>
      </c>
      <c r="AH204" s="62" t="e">
        <f t="shared" si="254"/>
        <v>#DIV/0!</v>
      </c>
      <c r="AI204" s="62" t="e">
        <f t="shared" si="269"/>
        <v>#DIV/0!</v>
      </c>
      <c r="AJ204" s="62" t="e">
        <f t="shared" si="270"/>
        <v>#DIV/0!</v>
      </c>
      <c r="AK204" s="62" t="e">
        <f t="shared" si="285"/>
        <v>#DIV/0!</v>
      </c>
      <c r="AL204" s="59" t="e">
        <f t="shared" si="264"/>
        <v>#DIV/0!</v>
      </c>
      <c r="AM204" s="101" t="e">
        <f t="shared" si="259"/>
        <v>#DIV/0!</v>
      </c>
      <c r="AN204" s="55"/>
      <c r="AP204" s="65" t="s">
        <v>250</v>
      </c>
      <c r="AQ204" s="59"/>
      <c r="AR204" s="63" t="str">
        <f t="shared" ref="AR204:BF204" si="298">IF(AR$166=0,AR9,"")</f>
        <v/>
      </c>
      <c r="AS204" s="63" t="str">
        <f t="shared" si="298"/>
        <v/>
      </c>
      <c r="AT204" s="63" t="str">
        <f t="shared" si="298"/>
        <v/>
      </c>
      <c r="AU204" s="63" t="str">
        <f t="shared" si="298"/>
        <v/>
      </c>
      <c r="AV204" s="63" t="str">
        <f t="shared" si="298"/>
        <v/>
      </c>
      <c r="AW204" s="63" t="str">
        <f t="shared" si="298"/>
        <v/>
      </c>
      <c r="AX204" s="63" t="str">
        <f t="shared" si="298"/>
        <v/>
      </c>
      <c r="AY204" s="63" t="str">
        <f t="shared" si="298"/>
        <v/>
      </c>
      <c r="AZ204" s="63" t="str">
        <f t="shared" si="298"/>
        <v/>
      </c>
      <c r="BA204" s="63" t="str">
        <f t="shared" si="298"/>
        <v/>
      </c>
      <c r="BB204" s="63" t="str">
        <f t="shared" si="298"/>
        <v/>
      </c>
      <c r="BC204" s="63" t="str">
        <f t="shared" si="298"/>
        <v/>
      </c>
      <c r="BD204" s="63" t="str">
        <f t="shared" si="298"/>
        <v/>
      </c>
      <c r="BE204" s="63" t="str">
        <f t="shared" si="298"/>
        <v/>
      </c>
      <c r="BF204" s="63" t="str">
        <f t="shared" si="298"/>
        <v/>
      </c>
      <c r="BI204" s="65" t="s">
        <v>250</v>
      </c>
      <c r="BJ204" s="59"/>
      <c r="BK204" s="62" t="e">
        <f t="shared" ref="BK204:BY206" si="299">IF(AR$166=0,AR9,NA())</f>
        <v>#N/A</v>
      </c>
      <c r="BL204" s="62" t="e">
        <f t="shared" si="299"/>
        <v>#N/A</v>
      </c>
      <c r="BM204" s="62" t="e">
        <f t="shared" si="299"/>
        <v>#N/A</v>
      </c>
      <c r="BN204" s="62" t="e">
        <f t="shared" si="299"/>
        <v>#N/A</v>
      </c>
      <c r="BO204" s="62" t="e">
        <f t="shared" si="299"/>
        <v>#N/A</v>
      </c>
      <c r="BP204" s="62" t="e">
        <f t="shared" si="299"/>
        <v>#N/A</v>
      </c>
      <c r="BQ204" s="62" t="e">
        <f t="shared" si="299"/>
        <v>#N/A</v>
      </c>
      <c r="BR204" s="62" t="e">
        <f t="shared" si="299"/>
        <v>#N/A</v>
      </c>
      <c r="BS204" s="62" t="e">
        <f t="shared" si="299"/>
        <v>#N/A</v>
      </c>
      <c r="BT204" s="62" t="e">
        <f t="shared" si="299"/>
        <v>#N/A</v>
      </c>
      <c r="BU204" s="62" t="e">
        <f t="shared" si="299"/>
        <v>#N/A</v>
      </c>
      <c r="BV204" s="62" t="e">
        <f t="shared" si="299"/>
        <v>#N/A</v>
      </c>
      <c r="BW204" s="62" t="e">
        <f t="shared" si="299"/>
        <v>#N/A</v>
      </c>
      <c r="BX204" s="62" t="e">
        <f t="shared" si="299"/>
        <v>#N/A</v>
      </c>
      <c r="BY204" s="62" t="e">
        <f t="shared" si="299"/>
        <v>#N/A</v>
      </c>
    </row>
    <row r="205" spans="15:77" x14ac:dyDescent="0.5">
      <c r="O205" s="17"/>
      <c r="Q205" s="62">
        <v>4.9999999999998997E-2</v>
      </c>
      <c r="R205" s="62" t="e">
        <f t="shared" si="275"/>
        <v>#DIV/0!</v>
      </c>
      <c r="S205" s="62" t="e">
        <f t="shared" si="276"/>
        <v>#DIV/0!</v>
      </c>
      <c r="T205" s="62" t="e">
        <f t="shared" si="277"/>
        <v>#DIV/0!</v>
      </c>
      <c r="U205" s="62" t="e">
        <f t="shared" si="278"/>
        <v>#DIV/0!</v>
      </c>
      <c r="V205" s="62" t="e">
        <f t="shared" si="279"/>
        <v>#DIV/0!</v>
      </c>
      <c r="W205" s="59" t="e">
        <f t="shared" si="284"/>
        <v>#DIV/0!</v>
      </c>
      <c r="X205" s="101" t="e">
        <f t="shared" si="280"/>
        <v>#DIV/0!</v>
      </c>
      <c r="Y205" s="104"/>
      <c r="AA205" s="62" t="e">
        <f t="shared" si="281"/>
        <v>#DIV/0!</v>
      </c>
      <c r="AF205" s="62">
        <v>0.57999999999999996</v>
      </c>
      <c r="AG205" s="62" t="e">
        <f t="shared" si="253"/>
        <v>#DIV/0!</v>
      </c>
      <c r="AH205" s="62" t="e">
        <f t="shared" si="254"/>
        <v>#DIV/0!</v>
      </c>
      <c r="AI205" s="62" t="e">
        <f t="shared" si="269"/>
        <v>#DIV/0!</v>
      </c>
      <c r="AJ205" s="62" t="e">
        <f t="shared" si="270"/>
        <v>#DIV/0!</v>
      </c>
      <c r="AK205" s="62" t="e">
        <f t="shared" si="285"/>
        <v>#DIV/0!</v>
      </c>
      <c r="AL205" s="59" t="e">
        <f t="shared" si="264"/>
        <v>#DIV/0!</v>
      </c>
      <c r="AM205" s="101" t="e">
        <f t="shared" si="259"/>
        <v>#DIV/0!</v>
      </c>
      <c r="AN205" s="55"/>
      <c r="AP205" s="67" t="s">
        <v>15</v>
      </c>
      <c r="AQ205" s="59"/>
      <c r="AR205" s="63" t="str">
        <f t="shared" ref="AR205:BF205" si="300">IF(AR$166=0,AR10,"")</f>
        <v/>
      </c>
      <c r="AS205" s="63" t="str">
        <f t="shared" si="300"/>
        <v/>
      </c>
      <c r="AT205" s="63" t="str">
        <f t="shared" si="300"/>
        <v/>
      </c>
      <c r="AU205" s="63" t="str">
        <f t="shared" si="300"/>
        <v/>
      </c>
      <c r="AV205" s="63" t="str">
        <f t="shared" si="300"/>
        <v/>
      </c>
      <c r="AW205" s="63" t="str">
        <f t="shared" si="300"/>
        <v/>
      </c>
      <c r="AX205" s="63" t="str">
        <f t="shared" si="300"/>
        <v/>
      </c>
      <c r="AY205" s="63" t="str">
        <f t="shared" si="300"/>
        <v/>
      </c>
      <c r="AZ205" s="63" t="str">
        <f t="shared" si="300"/>
        <v/>
      </c>
      <c r="BA205" s="63" t="str">
        <f t="shared" si="300"/>
        <v/>
      </c>
      <c r="BB205" s="63" t="str">
        <f t="shared" si="300"/>
        <v/>
      </c>
      <c r="BC205" s="63" t="str">
        <f t="shared" si="300"/>
        <v/>
      </c>
      <c r="BD205" s="63" t="str">
        <f t="shared" si="300"/>
        <v/>
      </c>
      <c r="BE205" s="63" t="str">
        <f t="shared" si="300"/>
        <v/>
      </c>
      <c r="BF205" s="63" t="str">
        <f t="shared" si="300"/>
        <v/>
      </c>
      <c r="BI205" s="67" t="s">
        <v>15</v>
      </c>
      <c r="BJ205" s="59"/>
      <c r="BK205" s="62" t="e">
        <f t="shared" si="299"/>
        <v>#N/A</v>
      </c>
      <c r="BL205" s="62" t="e">
        <f t="shared" si="299"/>
        <v>#N/A</v>
      </c>
      <c r="BM205" s="62" t="e">
        <f t="shared" si="299"/>
        <v>#N/A</v>
      </c>
      <c r="BN205" s="62" t="e">
        <f t="shared" si="299"/>
        <v>#N/A</v>
      </c>
      <c r="BO205" s="62" t="e">
        <f t="shared" si="299"/>
        <v>#N/A</v>
      </c>
      <c r="BP205" s="62" t="e">
        <f t="shared" si="299"/>
        <v>#N/A</v>
      </c>
      <c r="BQ205" s="62" t="e">
        <f t="shared" si="299"/>
        <v>#N/A</v>
      </c>
      <c r="BR205" s="62" t="e">
        <f t="shared" si="299"/>
        <v>#N/A</v>
      </c>
      <c r="BS205" s="62" t="e">
        <f t="shared" si="299"/>
        <v>#N/A</v>
      </c>
      <c r="BT205" s="62" t="e">
        <f t="shared" si="299"/>
        <v>#N/A</v>
      </c>
      <c r="BU205" s="62" t="e">
        <f t="shared" si="299"/>
        <v>#N/A</v>
      </c>
      <c r="BV205" s="62" t="e">
        <f t="shared" si="299"/>
        <v>#N/A</v>
      </c>
      <c r="BW205" s="62" t="e">
        <f t="shared" si="299"/>
        <v>#N/A</v>
      </c>
      <c r="BX205" s="62" t="e">
        <f t="shared" si="299"/>
        <v>#N/A</v>
      </c>
      <c r="BY205" s="62" t="e">
        <f t="shared" si="299"/>
        <v>#N/A</v>
      </c>
    </row>
    <row r="206" spans="15:77" x14ac:dyDescent="0.5">
      <c r="O206" s="17"/>
      <c r="Q206" s="62">
        <v>3.9999999999999002E-2</v>
      </c>
      <c r="R206" s="62" t="e">
        <f t="shared" si="275"/>
        <v>#DIV/0!</v>
      </c>
      <c r="S206" s="62" t="e">
        <f t="shared" si="276"/>
        <v>#DIV/0!</v>
      </c>
      <c r="T206" s="62" t="e">
        <f t="shared" si="277"/>
        <v>#DIV/0!</v>
      </c>
      <c r="U206" s="62" t="e">
        <f t="shared" ref="U206:U210" si="301">(1/(1+EXP($AT$122-T206/$AT$119)^$AT$121))*((T206-$AT$119)/$AT$120)+(1/(1+EXP(T206/$AT$119-$AT$122)^$AT$121))*((($AT$116-T206)*$AT$118)/(T206+$AT$117))</f>
        <v>#DIV/0!</v>
      </c>
      <c r="V206" s="62" t="e">
        <f>T206*U206</f>
        <v>#DIV/0!</v>
      </c>
      <c r="W206" s="59" t="e">
        <f>ROUND(SLOPE(T201:T214,U201:U214),0)</f>
        <v>#DIV/0!</v>
      </c>
      <c r="X206" s="101" t="e">
        <f t="shared" si="280"/>
        <v>#DIV/0!</v>
      </c>
      <c r="Y206" s="104"/>
      <c r="AA206" s="62" t="e">
        <f t="shared" si="281"/>
        <v>#DIV/0!</v>
      </c>
      <c r="AF206" s="62">
        <v>0.56999999999999995</v>
      </c>
      <c r="AG206" s="62" t="e">
        <f t="shared" si="253"/>
        <v>#DIV/0!</v>
      </c>
      <c r="AH206" s="62" t="e">
        <f t="shared" si="254"/>
        <v>#DIV/0!</v>
      </c>
      <c r="AI206" s="62" t="e">
        <f t="shared" si="269"/>
        <v>#DIV/0!</v>
      </c>
      <c r="AJ206" s="62" t="e">
        <f t="shared" si="270"/>
        <v>#DIV/0!</v>
      </c>
      <c r="AK206" s="62" t="e">
        <f t="shared" si="285"/>
        <v>#DIV/0!</v>
      </c>
      <c r="AL206" s="59" t="e">
        <f t="shared" si="264"/>
        <v>#DIV/0!</v>
      </c>
      <c r="AM206" s="101" t="e">
        <f t="shared" si="259"/>
        <v>#DIV/0!</v>
      </c>
      <c r="AN206" s="55"/>
      <c r="AP206" s="67" t="s">
        <v>261</v>
      </c>
      <c r="AQ206" s="59"/>
      <c r="AR206" s="63" t="str">
        <f t="shared" ref="AR206:BF206" si="302">IF(AR$166=0,AR11,"")</f>
        <v/>
      </c>
      <c r="AS206" s="63" t="str">
        <f t="shared" si="302"/>
        <v/>
      </c>
      <c r="AT206" s="63" t="str">
        <f t="shared" si="302"/>
        <v/>
      </c>
      <c r="AU206" s="63" t="str">
        <f t="shared" si="302"/>
        <v/>
      </c>
      <c r="AV206" s="63" t="str">
        <f t="shared" si="302"/>
        <v/>
      </c>
      <c r="AW206" s="63" t="str">
        <f t="shared" si="302"/>
        <v/>
      </c>
      <c r="AX206" s="63" t="str">
        <f t="shared" si="302"/>
        <v/>
      </c>
      <c r="AY206" s="63" t="str">
        <f t="shared" si="302"/>
        <v/>
      </c>
      <c r="AZ206" s="63" t="str">
        <f t="shared" si="302"/>
        <v/>
      </c>
      <c r="BA206" s="63" t="str">
        <f t="shared" si="302"/>
        <v/>
      </c>
      <c r="BB206" s="63" t="str">
        <f t="shared" si="302"/>
        <v/>
      </c>
      <c r="BC206" s="63" t="str">
        <f t="shared" si="302"/>
        <v/>
      </c>
      <c r="BD206" s="63" t="str">
        <f t="shared" si="302"/>
        <v/>
      </c>
      <c r="BE206" s="63" t="str">
        <f t="shared" si="302"/>
        <v/>
      </c>
      <c r="BF206" s="63" t="str">
        <f t="shared" si="302"/>
        <v/>
      </c>
      <c r="BI206" s="67" t="s">
        <v>251</v>
      </c>
      <c r="BJ206" s="59"/>
      <c r="BK206" s="62" t="e">
        <f t="shared" si="299"/>
        <v>#N/A</v>
      </c>
      <c r="BL206" s="62" t="e">
        <f t="shared" si="299"/>
        <v>#N/A</v>
      </c>
      <c r="BM206" s="62" t="e">
        <f t="shared" si="299"/>
        <v>#N/A</v>
      </c>
      <c r="BN206" s="62" t="e">
        <f t="shared" si="299"/>
        <v>#N/A</v>
      </c>
      <c r="BO206" s="62" t="e">
        <f t="shared" si="299"/>
        <v>#N/A</v>
      </c>
      <c r="BP206" s="62" t="e">
        <f t="shared" si="299"/>
        <v>#N/A</v>
      </c>
      <c r="BQ206" s="62" t="e">
        <f t="shared" si="299"/>
        <v>#N/A</v>
      </c>
      <c r="BR206" s="62" t="e">
        <f t="shared" si="299"/>
        <v>#N/A</v>
      </c>
      <c r="BS206" s="62" t="e">
        <f t="shared" si="299"/>
        <v>#N/A</v>
      </c>
      <c r="BT206" s="62" t="e">
        <f t="shared" si="299"/>
        <v>#N/A</v>
      </c>
      <c r="BU206" s="62" t="e">
        <f t="shared" si="299"/>
        <v>#N/A</v>
      </c>
      <c r="BV206" s="62" t="e">
        <f t="shared" si="299"/>
        <v>#N/A</v>
      </c>
      <c r="BW206" s="62" t="e">
        <f t="shared" si="299"/>
        <v>#N/A</v>
      </c>
      <c r="BX206" s="62" t="e">
        <f t="shared" si="299"/>
        <v>#N/A</v>
      </c>
      <c r="BY206" s="62" t="e">
        <f t="shared" si="299"/>
        <v>#N/A</v>
      </c>
    </row>
    <row r="207" spans="15:77" x14ac:dyDescent="0.5">
      <c r="O207" s="17"/>
      <c r="Q207" s="62">
        <v>2.9999999999999E-2</v>
      </c>
      <c r="R207" s="62" t="e">
        <f t="shared" si="275"/>
        <v>#DIV/0!</v>
      </c>
      <c r="S207" s="62" t="e">
        <f t="shared" si="276"/>
        <v>#DIV/0!</v>
      </c>
      <c r="T207" s="62" t="e">
        <f t="shared" si="277"/>
        <v>#DIV/0!</v>
      </c>
      <c r="U207" s="62" t="e">
        <f t="shared" si="301"/>
        <v>#DIV/0!</v>
      </c>
      <c r="V207" s="62" t="e">
        <f>T207*U207</f>
        <v>#DIV/0!</v>
      </c>
      <c r="W207" s="59" t="e">
        <f>ROUND(SLOPE(T202:T215,U202:U215),0)</f>
        <v>#DIV/0!</v>
      </c>
      <c r="X207" s="101" t="e">
        <f>ROUND(((W206-W207)/$W$110),4)</f>
        <v>#DIV/0!</v>
      </c>
      <c r="Y207" s="104"/>
      <c r="AA207" s="62" t="e">
        <f t="shared" si="281"/>
        <v>#DIV/0!</v>
      </c>
      <c r="AF207" s="62">
        <v>0.56000000000000005</v>
      </c>
      <c r="AG207" s="62" t="e">
        <f t="shared" si="253"/>
        <v>#DIV/0!</v>
      </c>
      <c r="AH207" s="62" t="e">
        <f t="shared" si="254"/>
        <v>#DIV/0!</v>
      </c>
      <c r="AI207" s="62" t="e">
        <f t="shared" si="269"/>
        <v>#DIV/0!</v>
      </c>
      <c r="AJ207" s="62" t="e">
        <f t="shared" si="270"/>
        <v>#DIV/0!</v>
      </c>
      <c r="AK207" s="62" t="e">
        <f t="shared" si="285"/>
        <v>#DIV/0!</v>
      </c>
      <c r="AL207" s="59" t="e">
        <f t="shared" si="264"/>
        <v>#DIV/0!</v>
      </c>
      <c r="AM207" s="101" t="e">
        <f t="shared" si="259"/>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5"/>
        <v>#DIV/0!</v>
      </c>
      <c r="S208" s="62" t="e">
        <f t="shared" si="276"/>
        <v>#DIV/0!</v>
      </c>
      <c r="T208" s="62" t="e">
        <f t="shared" si="277"/>
        <v>#DIV/0!</v>
      </c>
      <c r="U208" s="62" t="e">
        <f t="shared" si="301"/>
        <v>#DIV/0!</v>
      </c>
      <c r="V208" s="62" t="e">
        <f>T208*U208</f>
        <v>#DIV/0!</v>
      </c>
      <c r="W208" s="59" t="e">
        <f>ROUND(SLOPE(T203:T216,U203:U216),0)</f>
        <v>#DIV/0!</v>
      </c>
      <c r="X208" s="101" t="e">
        <f>ROUND(((W207-W208)/$W$110),4)</f>
        <v>#DIV/0!</v>
      </c>
      <c r="Y208" s="104"/>
      <c r="AA208" s="62" t="e">
        <f t="shared" si="281"/>
        <v>#DIV/0!</v>
      </c>
      <c r="AF208" s="62">
        <v>0.55000000000000004</v>
      </c>
      <c r="AG208" s="62" t="e">
        <f t="shared" si="253"/>
        <v>#DIV/0!</v>
      </c>
      <c r="AH208" s="62" t="e">
        <f t="shared" si="254"/>
        <v>#DIV/0!</v>
      </c>
      <c r="AI208" s="62" t="e">
        <f t="shared" si="269"/>
        <v>#DIV/0!</v>
      </c>
      <c r="AJ208" s="62" t="e">
        <f t="shared" si="270"/>
        <v>#DIV/0!</v>
      </c>
      <c r="AK208" s="62" t="e">
        <f t="shared" si="285"/>
        <v>#DIV/0!</v>
      </c>
      <c r="AL208" s="59" t="e">
        <f t="shared" si="264"/>
        <v>#DIV/0!</v>
      </c>
      <c r="AM208" s="101" t="e">
        <f t="shared" si="259"/>
        <v>#DIV/0!</v>
      </c>
      <c r="AN208" s="55"/>
      <c r="AP208" s="53" t="s">
        <v>66</v>
      </c>
      <c r="BI208" s="53" t="s">
        <v>66</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5"/>
        <v>#DIV/0!</v>
      </c>
      <c r="S209" s="62" t="e">
        <f t="shared" si="276"/>
        <v>#DIV/0!</v>
      </c>
      <c r="T209" s="62" t="e">
        <f t="shared" si="277"/>
        <v>#DIV/0!</v>
      </c>
      <c r="U209" s="62" t="e">
        <f t="shared" si="301"/>
        <v>#DIV/0!</v>
      </c>
      <c r="V209" s="62" t="e">
        <f>T209*U209</f>
        <v>#DIV/0!</v>
      </c>
      <c r="W209" s="59" t="e">
        <f>ROUND(SLOPE(T204:T217,U204:U217),0)</f>
        <v>#DIV/0!</v>
      </c>
      <c r="X209" s="101" t="e">
        <f>ROUND(((W208-W209)/$W$110),4)</f>
        <v>#DIV/0!</v>
      </c>
      <c r="Y209" s="104"/>
      <c r="AA209" s="62" t="e">
        <f t="shared" si="281"/>
        <v>#DIV/0!</v>
      </c>
      <c r="AF209" s="62">
        <v>0.54</v>
      </c>
      <c r="AG209" s="62" t="e">
        <f t="shared" si="253"/>
        <v>#DIV/0!</v>
      </c>
      <c r="AH209" s="62" t="e">
        <f t="shared" si="254"/>
        <v>#DIV/0!</v>
      </c>
      <c r="AI209" s="62" t="e">
        <f t="shared" si="269"/>
        <v>#DIV/0!</v>
      </c>
      <c r="AJ209" s="62" t="e">
        <f t="shared" si="270"/>
        <v>#DIV/0!</v>
      </c>
      <c r="AK209" s="62" t="e">
        <f t="shared" si="285"/>
        <v>#DIV/0!</v>
      </c>
      <c r="AL209" s="59" t="e">
        <f t="shared" si="264"/>
        <v>#DIV/0!</v>
      </c>
      <c r="AM209" s="101" t="e">
        <f t="shared" si="259"/>
        <v>#DIV/0!</v>
      </c>
      <c r="AP209" s="59" t="s">
        <v>67</v>
      </c>
      <c r="AQ209" s="59"/>
      <c r="AR209" s="63" t="str">
        <f>IF(AR$166=1,AR10,"")</f>
        <v/>
      </c>
      <c r="AS209" s="63" t="str">
        <f>IF(AS$166=1,AS10,"")</f>
        <v/>
      </c>
      <c r="AT209" s="63" t="str">
        <f t="shared" ref="AT209:BF209" si="303">IF(AT$166=1,AT10,"")</f>
        <v/>
      </c>
      <c r="AU209" s="63" t="str">
        <f t="shared" si="303"/>
        <v/>
      </c>
      <c r="AV209" s="63" t="str">
        <f t="shared" si="303"/>
        <v/>
      </c>
      <c r="AW209" s="63" t="str">
        <f t="shared" si="303"/>
        <v/>
      </c>
      <c r="AX209" s="63" t="str">
        <f t="shared" si="303"/>
        <v/>
      </c>
      <c r="AY209" s="63" t="str">
        <f t="shared" si="303"/>
        <v/>
      </c>
      <c r="AZ209" s="63" t="str">
        <f t="shared" si="303"/>
        <v/>
      </c>
      <c r="BA209" s="63" t="str">
        <f t="shared" si="303"/>
        <v/>
      </c>
      <c r="BB209" s="63" t="str">
        <f t="shared" si="303"/>
        <v/>
      </c>
      <c r="BC209" s="63" t="str">
        <f t="shared" si="303"/>
        <v/>
      </c>
      <c r="BD209" s="63" t="str">
        <f t="shared" si="303"/>
        <v/>
      </c>
      <c r="BE209" s="63" t="str">
        <f t="shared" si="303"/>
        <v/>
      </c>
      <c r="BF209" s="63" t="str">
        <f t="shared" si="303"/>
        <v/>
      </c>
      <c r="BI209" s="59" t="s">
        <v>67</v>
      </c>
      <c r="BJ209" s="59"/>
      <c r="BK209" s="62" t="e">
        <f t="shared" ref="BK209:BY209" si="304">IF(AR$166=1,AR10,NA())</f>
        <v>#N/A</v>
      </c>
      <c r="BL209" s="62" t="e">
        <f t="shared" si="304"/>
        <v>#N/A</v>
      </c>
      <c r="BM209" s="62" t="e">
        <f t="shared" si="304"/>
        <v>#N/A</v>
      </c>
      <c r="BN209" s="62" t="e">
        <f t="shared" si="304"/>
        <v>#N/A</v>
      </c>
      <c r="BO209" s="62" t="e">
        <f t="shared" si="304"/>
        <v>#N/A</v>
      </c>
      <c r="BP209" s="62" t="e">
        <f t="shared" si="304"/>
        <v>#N/A</v>
      </c>
      <c r="BQ209" s="62" t="e">
        <f t="shared" si="304"/>
        <v>#N/A</v>
      </c>
      <c r="BR209" s="62" t="e">
        <f t="shared" si="304"/>
        <v>#N/A</v>
      </c>
      <c r="BS209" s="62" t="e">
        <f t="shared" si="304"/>
        <v>#N/A</v>
      </c>
      <c r="BT209" s="62" t="e">
        <f t="shared" si="304"/>
        <v>#N/A</v>
      </c>
      <c r="BU209" s="62" t="e">
        <f t="shared" si="304"/>
        <v>#N/A</v>
      </c>
      <c r="BV209" s="62" t="e">
        <f t="shared" si="304"/>
        <v>#N/A</v>
      </c>
      <c r="BW209" s="62" t="e">
        <f t="shared" si="304"/>
        <v>#N/A</v>
      </c>
      <c r="BX209" s="62" t="e">
        <f t="shared" si="304"/>
        <v>#N/A</v>
      </c>
      <c r="BY209" s="62" t="e">
        <f t="shared" si="304"/>
        <v>#N/A</v>
      </c>
    </row>
    <row r="210" spans="15:77" x14ac:dyDescent="0.5">
      <c r="O210" s="17"/>
      <c r="Q210" s="62">
        <v>0</v>
      </c>
      <c r="R210" s="62" t="e">
        <f t="shared" si="275"/>
        <v>#DIV/0!</v>
      </c>
      <c r="S210" s="62" t="e">
        <f t="shared" si="276"/>
        <v>#DIV/0!</v>
      </c>
      <c r="T210" s="62" t="e">
        <f t="shared" si="277"/>
        <v>#DIV/0!</v>
      </c>
      <c r="U210" s="62" t="e">
        <f t="shared" si="301"/>
        <v>#DIV/0!</v>
      </c>
      <c r="V210" s="62" t="e">
        <f>T210*U210</f>
        <v>#DIV/0!</v>
      </c>
      <c r="W210" s="59" t="e">
        <f>ROUND(SLOPE(T205:T218,U205:U218),0)</f>
        <v>#DIV/0!</v>
      </c>
      <c r="X210" s="101" t="e">
        <f>ROUND(((W209-W210)/$W$110),4)</f>
        <v>#DIV/0!</v>
      </c>
      <c r="Y210" s="104"/>
      <c r="AA210" s="62" t="e">
        <f t="shared" si="281"/>
        <v>#DIV/0!</v>
      </c>
      <c r="AF210" s="62">
        <v>0.53</v>
      </c>
      <c r="AG210" s="62" t="e">
        <f t="shared" si="253"/>
        <v>#DIV/0!</v>
      </c>
      <c r="AH210" s="62" t="e">
        <f t="shared" si="254"/>
        <v>#DIV/0!</v>
      </c>
      <c r="AI210" s="62" t="e">
        <f t="shared" si="269"/>
        <v>#DIV/0!</v>
      </c>
      <c r="AJ210" s="62" t="e">
        <f t="shared" si="270"/>
        <v>#DIV/0!</v>
      </c>
      <c r="AK210" s="62" t="e">
        <f t="shared" si="285"/>
        <v>#DIV/0!</v>
      </c>
      <c r="AL210" s="59" t="e">
        <f t="shared" si="264"/>
        <v>#DIV/0!</v>
      </c>
      <c r="AM210" s="101" t="e">
        <f t="shared" si="259"/>
        <v>#DIV/0!</v>
      </c>
      <c r="AP210" s="59" t="s">
        <v>68</v>
      </c>
      <c r="AQ210" s="59"/>
      <c r="AR210" s="63" t="str">
        <f>IF(AR$166=1,AR195,"")</f>
        <v/>
      </c>
      <c r="AS210" s="63" t="str">
        <f>IF(AS$166=1,AS195,"")</f>
        <v/>
      </c>
      <c r="AT210" s="63" t="str">
        <f t="shared" ref="AT210:AZ210" si="305">IF(AT$166=1,AT195,"")</f>
        <v/>
      </c>
      <c r="AU210" s="63" t="str">
        <f t="shared" si="305"/>
        <v/>
      </c>
      <c r="AV210" s="63" t="str">
        <f t="shared" si="305"/>
        <v/>
      </c>
      <c r="AW210" s="63" t="str">
        <f t="shared" si="305"/>
        <v/>
      </c>
      <c r="AX210" s="63" t="str">
        <f t="shared" si="305"/>
        <v/>
      </c>
      <c r="AY210" s="63" t="str">
        <f t="shared" si="305"/>
        <v/>
      </c>
      <c r="AZ210" s="63" t="str">
        <f t="shared" si="305"/>
        <v/>
      </c>
      <c r="BA210" s="63" t="str">
        <f t="shared" ref="BA210:BF210" si="306">IF(BA$166=1,BA195,"")</f>
        <v/>
      </c>
      <c r="BB210" s="63" t="str">
        <f t="shared" si="306"/>
        <v/>
      </c>
      <c r="BC210" s="63" t="str">
        <f t="shared" si="306"/>
        <v/>
      </c>
      <c r="BD210" s="63" t="str">
        <f t="shared" si="306"/>
        <v/>
      </c>
      <c r="BE210" s="63" t="str">
        <f t="shared" si="306"/>
        <v/>
      </c>
      <c r="BF210" s="63" t="str">
        <f t="shared" si="306"/>
        <v/>
      </c>
      <c r="BI210" s="59" t="s">
        <v>68</v>
      </c>
      <c r="BJ210" s="59"/>
      <c r="BK210" s="62" t="e">
        <f>IF(AR$166=1,AR195,NA())</f>
        <v>#N/A</v>
      </c>
      <c r="BL210" s="62" t="e">
        <f>IF(AS$166=1,AS195,NA())</f>
        <v>#N/A</v>
      </c>
      <c r="BM210" s="62" t="e">
        <f t="shared" ref="BM210:BY210" si="307">IF(AT$166=1,AT195,NA())</f>
        <v>#N/A</v>
      </c>
      <c r="BN210" s="62" t="e">
        <f t="shared" si="307"/>
        <v>#N/A</v>
      </c>
      <c r="BO210" s="62" t="e">
        <f t="shared" si="307"/>
        <v>#N/A</v>
      </c>
      <c r="BP210" s="62" t="e">
        <f t="shared" si="307"/>
        <v>#N/A</v>
      </c>
      <c r="BQ210" s="62" t="e">
        <f t="shared" si="307"/>
        <v>#N/A</v>
      </c>
      <c r="BR210" s="62" t="e">
        <f t="shared" si="307"/>
        <v>#N/A</v>
      </c>
      <c r="BS210" s="62" t="e">
        <f t="shared" si="307"/>
        <v>#N/A</v>
      </c>
      <c r="BT210" s="62" t="e">
        <f t="shared" si="307"/>
        <v>#N/A</v>
      </c>
      <c r="BU210" s="62" t="e">
        <f t="shared" si="307"/>
        <v>#N/A</v>
      </c>
      <c r="BV210" s="62" t="e">
        <f t="shared" si="307"/>
        <v>#N/A</v>
      </c>
      <c r="BW210" s="62" t="e">
        <f t="shared" si="307"/>
        <v>#N/A</v>
      </c>
      <c r="BX210" s="62" t="e">
        <f t="shared" si="307"/>
        <v>#N/A</v>
      </c>
      <c r="BY210" s="62" t="e">
        <f t="shared" si="307"/>
        <v>#N/A</v>
      </c>
    </row>
    <row r="211" spans="15:77" x14ac:dyDescent="0.5">
      <c r="O211" s="17"/>
      <c r="AF211" s="62">
        <v>0.52</v>
      </c>
      <c r="AG211" s="62" t="e">
        <f t="shared" si="253"/>
        <v>#DIV/0!</v>
      </c>
      <c r="AH211" s="62" t="e">
        <f t="shared" si="254"/>
        <v>#DIV/0!</v>
      </c>
      <c r="AI211" s="62" t="e">
        <f t="shared" si="269"/>
        <v>#DIV/0!</v>
      </c>
      <c r="AJ211" s="62" t="e">
        <f t="shared" si="270"/>
        <v>#DIV/0!</v>
      </c>
      <c r="AK211" s="62" t="e">
        <f t="shared" si="285"/>
        <v>#DIV/0!</v>
      </c>
      <c r="AL211" s="59" t="e">
        <f t="shared" si="264"/>
        <v>#DIV/0!</v>
      </c>
      <c r="AM211" s="101" t="e">
        <f t="shared" si="259"/>
        <v>#DIV/0!</v>
      </c>
      <c r="AP211" s="59" t="s">
        <v>69</v>
      </c>
      <c r="AQ211" s="59"/>
      <c r="AR211" s="63" t="str">
        <f>IF(AR209="","",(AR209-AR210)^2)</f>
        <v/>
      </c>
      <c r="AS211" s="63" t="str">
        <f>IF(AS209="","",(AS209-AS210)^2)</f>
        <v/>
      </c>
      <c r="AT211" s="63" t="str">
        <f t="shared" ref="AT211:BF211" si="308">IF(AT209="","",(AT209-AT210)^2)</f>
        <v/>
      </c>
      <c r="AU211" s="63" t="str">
        <f t="shared" si="308"/>
        <v/>
      </c>
      <c r="AV211" s="63" t="str">
        <f t="shared" si="308"/>
        <v/>
      </c>
      <c r="AW211" s="63" t="str">
        <f t="shared" si="308"/>
        <v/>
      </c>
      <c r="AX211" s="63" t="str">
        <f t="shared" si="308"/>
        <v/>
      </c>
      <c r="AY211" s="63" t="str">
        <f t="shared" si="308"/>
        <v/>
      </c>
      <c r="AZ211" s="63" t="str">
        <f t="shared" si="308"/>
        <v/>
      </c>
      <c r="BA211" s="63" t="str">
        <f t="shared" si="308"/>
        <v/>
      </c>
      <c r="BB211" s="63" t="str">
        <f t="shared" si="308"/>
        <v/>
      </c>
      <c r="BC211" s="63" t="str">
        <f t="shared" si="308"/>
        <v/>
      </c>
      <c r="BD211" s="63" t="str">
        <f t="shared" si="308"/>
        <v/>
      </c>
      <c r="BE211" s="63" t="str">
        <f t="shared" si="308"/>
        <v/>
      </c>
      <c r="BF211" s="63" t="str">
        <f t="shared" si="308"/>
        <v/>
      </c>
      <c r="BI211" s="59" t="s">
        <v>69</v>
      </c>
      <c r="BJ211" s="59"/>
      <c r="BK211" s="62" t="e">
        <f>IF(AR209="",NA(),(AR209-AR210)^2)</f>
        <v>#N/A</v>
      </c>
      <c r="BL211" s="62" t="e">
        <f t="shared" ref="BL211:BY211" si="309">IF(AS209="",NA(),(AS209-AS210)^2)</f>
        <v>#N/A</v>
      </c>
      <c r="BM211" s="62" t="e">
        <f t="shared" si="309"/>
        <v>#N/A</v>
      </c>
      <c r="BN211" s="62" t="e">
        <f t="shared" si="309"/>
        <v>#N/A</v>
      </c>
      <c r="BO211" s="62" t="e">
        <f t="shared" si="309"/>
        <v>#N/A</v>
      </c>
      <c r="BP211" s="62" t="e">
        <f t="shared" si="309"/>
        <v>#N/A</v>
      </c>
      <c r="BQ211" s="62" t="e">
        <f t="shared" si="309"/>
        <v>#N/A</v>
      </c>
      <c r="BR211" s="62" t="e">
        <f t="shared" si="309"/>
        <v>#N/A</v>
      </c>
      <c r="BS211" s="62" t="e">
        <f t="shared" si="309"/>
        <v>#N/A</v>
      </c>
      <c r="BT211" s="62" t="e">
        <f t="shared" si="309"/>
        <v>#N/A</v>
      </c>
      <c r="BU211" s="62" t="e">
        <f t="shared" si="309"/>
        <v>#N/A</v>
      </c>
      <c r="BV211" s="62" t="e">
        <f t="shared" si="309"/>
        <v>#N/A</v>
      </c>
      <c r="BW211" s="62" t="e">
        <f t="shared" si="309"/>
        <v>#N/A</v>
      </c>
      <c r="BX211" s="62" t="e">
        <f t="shared" si="309"/>
        <v>#N/A</v>
      </c>
      <c r="BY211" s="62" t="e">
        <f t="shared" si="309"/>
        <v>#N/A</v>
      </c>
    </row>
    <row r="212" spans="15:77" x14ac:dyDescent="0.5">
      <c r="O212" s="17"/>
      <c r="AF212" s="62">
        <v>0.51</v>
      </c>
      <c r="AG212" s="62" t="e">
        <f t="shared" si="253"/>
        <v>#DIV/0!</v>
      </c>
      <c r="AH212" s="62" t="e">
        <f t="shared" si="254"/>
        <v>#DIV/0!</v>
      </c>
      <c r="AI212" s="62" t="e">
        <f t="shared" si="269"/>
        <v>#DIV/0!</v>
      </c>
      <c r="AJ212" s="62" t="e">
        <f t="shared" si="270"/>
        <v>#DIV/0!</v>
      </c>
      <c r="AK212" s="62" t="e">
        <f t="shared" si="285"/>
        <v>#DIV/0!</v>
      </c>
      <c r="AL212" s="59" t="e">
        <f t="shared" si="264"/>
        <v>#DIV/0!</v>
      </c>
      <c r="AM212" s="101" t="e">
        <f t="shared" si="259"/>
        <v>#DIV/0!</v>
      </c>
    </row>
    <row r="213" spans="15:77" x14ac:dyDescent="0.5">
      <c r="O213" s="17"/>
      <c r="AF213" s="62">
        <v>0.5</v>
      </c>
      <c r="AG213" s="62" t="e">
        <f t="shared" si="253"/>
        <v>#DIV/0!</v>
      </c>
      <c r="AH213" s="62" t="e">
        <f t="shared" si="254"/>
        <v>#DIV/0!</v>
      </c>
      <c r="AI213" s="62" t="e">
        <f t="shared" si="269"/>
        <v>#DIV/0!</v>
      </c>
      <c r="AJ213" s="62" t="e">
        <f t="shared" si="270"/>
        <v>#DIV/0!</v>
      </c>
      <c r="AK213" s="62" t="e">
        <f t="shared" si="285"/>
        <v>#DIV/0!</v>
      </c>
      <c r="AL213" s="59" t="e">
        <f t="shared" si="264"/>
        <v>#DIV/0!</v>
      </c>
      <c r="AM213" s="101" t="e">
        <f t="shared" si="259"/>
        <v>#DIV/0!</v>
      </c>
      <c r="AP213" s="59" t="s">
        <v>296</v>
      </c>
      <c r="AQ213" s="59"/>
      <c r="AR213" s="63" t="str">
        <f>IF(AR$166=1,AR169/$AT$178,"")</f>
        <v/>
      </c>
      <c r="AS213" s="63" t="str">
        <f>IF(AS$166=1,AS169/$AT$178,"")</f>
        <v/>
      </c>
      <c r="AT213" s="63" t="str">
        <f t="shared" ref="AT213:BF213" si="310">IF(AT$166=1,AT169/$AT$178,"")</f>
        <v/>
      </c>
      <c r="AU213" s="63" t="str">
        <f t="shared" si="310"/>
        <v/>
      </c>
      <c r="AV213" s="63" t="str">
        <f t="shared" si="310"/>
        <v/>
      </c>
      <c r="AW213" s="63" t="str">
        <f t="shared" si="310"/>
        <v/>
      </c>
      <c r="AX213" s="63" t="str">
        <f t="shared" si="310"/>
        <v/>
      </c>
      <c r="AY213" s="63" t="str">
        <f t="shared" si="310"/>
        <v/>
      </c>
      <c r="AZ213" s="63" t="str">
        <f t="shared" si="310"/>
        <v/>
      </c>
      <c r="BA213" s="63" t="str">
        <f t="shared" si="310"/>
        <v/>
      </c>
      <c r="BB213" s="63" t="str">
        <f t="shared" si="310"/>
        <v/>
      </c>
      <c r="BC213" s="63" t="str">
        <f t="shared" si="310"/>
        <v/>
      </c>
      <c r="BD213" s="63" t="str">
        <f t="shared" si="310"/>
        <v/>
      </c>
      <c r="BE213" s="63" t="str">
        <f t="shared" si="310"/>
        <v/>
      </c>
      <c r="BF213" s="63" t="str">
        <f t="shared" si="310"/>
        <v/>
      </c>
    </row>
    <row r="214" spans="15:77" x14ac:dyDescent="0.5">
      <c r="AF214" s="62">
        <v>0.49</v>
      </c>
      <c r="AG214" s="62" t="e">
        <f t="shared" si="253"/>
        <v>#DIV/0!</v>
      </c>
      <c r="AH214" s="62" t="e">
        <f t="shared" si="254"/>
        <v>#DIV/0!</v>
      </c>
      <c r="AI214" s="62" t="e">
        <f t="shared" si="269"/>
        <v>#DIV/0!</v>
      </c>
      <c r="AJ214" s="62" t="e">
        <f t="shared" si="270"/>
        <v>#DIV/0!</v>
      </c>
      <c r="AK214" s="62" t="e">
        <f t="shared" si="285"/>
        <v>#DIV/0!</v>
      </c>
      <c r="AL214" s="59" t="e">
        <f t="shared" si="264"/>
        <v>#DIV/0!</v>
      </c>
      <c r="AM214" s="101" t="e">
        <f t="shared" si="259"/>
        <v>#DIV/0!</v>
      </c>
      <c r="AP214" s="59" t="s">
        <v>142</v>
      </c>
      <c r="AQ214" s="59"/>
      <c r="AR214" s="63" t="str">
        <f>IF(AR$166=1,((($AT$175-AR110)*$AT$177)/(AR110+$AT$176)),"")</f>
        <v/>
      </c>
      <c r="AS214" s="63" t="str">
        <f>IF(AS$166=1,((($AT$175-AS110)*$AT$177)/(AS110+$AT$176)),"")</f>
        <v/>
      </c>
      <c r="AT214" s="63" t="str">
        <f t="shared" ref="AT214:BF214" si="311">IF(AT$166=1,((($AT$175-AT110)*$AT$177)/(AT110+$AT$176)),"")</f>
        <v/>
      </c>
      <c r="AU214" s="63" t="str">
        <f t="shared" si="311"/>
        <v/>
      </c>
      <c r="AV214" s="63" t="str">
        <f t="shared" si="311"/>
        <v/>
      </c>
      <c r="AW214" s="63" t="str">
        <f t="shared" si="311"/>
        <v/>
      </c>
      <c r="AX214" s="63" t="str">
        <f t="shared" si="311"/>
        <v/>
      </c>
      <c r="AY214" s="63" t="str">
        <f t="shared" si="311"/>
        <v/>
      </c>
      <c r="AZ214" s="63" t="str">
        <f t="shared" si="311"/>
        <v/>
      </c>
      <c r="BA214" s="63" t="str">
        <f t="shared" si="311"/>
        <v/>
      </c>
      <c r="BB214" s="63" t="str">
        <f t="shared" si="311"/>
        <v/>
      </c>
      <c r="BC214" s="63" t="str">
        <f t="shared" si="311"/>
        <v/>
      </c>
      <c r="BD214" s="63" t="str">
        <f t="shared" si="311"/>
        <v/>
      </c>
      <c r="BE214" s="63" t="str">
        <f t="shared" si="311"/>
        <v/>
      </c>
      <c r="BF214" s="63" t="str">
        <f t="shared" si="311"/>
        <v/>
      </c>
    </row>
    <row r="215" spans="15:77" x14ac:dyDescent="0.5">
      <c r="AF215" s="62">
        <v>0.48</v>
      </c>
      <c r="AG215" s="62" t="e">
        <f t="shared" si="253"/>
        <v>#DIV/0!</v>
      </c>
      <c r="AH215" s="62" t="e">
        <f t="shared" si="254"/>
        <v>#DIV/0!</v>
      </c>
      <c r="AI215" s="62" t="e">
        <f t="shared" si="269"/>
        <v>#DIV/0!</v>
      </c>
      <c r="AJ215" s="62" t="e">
        <f t="shared" si="270"/>
        <v>#DIV/0!</v>
      </c>
      <c r="AK215" s="62" t="e">
        <f t="shared" si="285"/>
        <v>#DIV/0!</v>
      </c>
      <c r="AL215" s="59" t="e">
        <f t="shared" si="264"/>
        <v>#DIV/0!</v>
      </c>
      <c r="AM215" s="101" t="e">
        <f t="shared" si="259"/>
        <v>#DIV/0!</v>
      </c>
      <c r="AP215" s="59" t="s">
        <v>69</v>
      </c>
      <c r="AQ215" s="59"/>
      <c r="AR215" s="63" t="str">
        <f>IF(AR209="","",IF(AR213&lt;$AV$185,(AR209-AR214)^2,""))</f>
        <v/>
      </c>
      <c r="AS215" s="63" t="str">
        <f t="shared" ref="AS215:BF215" si="312">IF(AS209="","",IF(AS213&lt;$AV$185,(AS209-AS214)^2,""))</f>
        <v/>
      </c>
      <c r="AT215" s="63" t="str">
        <f t="shared" si="312"/>
        <v/>
      </c>
      <c r="AU215" s="63" t="str">
        <f t="shared" si="312"/>
        <v/>
      </c>
      <c r="AV215" s="63" t="str">
        <f t="shared" si="312"/>
        <v/>
      </c>
      <c r="AW215" s="63" t="str">
        <f t="shared" si="312"/>
        <v/>
      </c>
      <c r="AX215" s="63" t="str">
        <f t="shared" si="312"/>
        <v/>
      </c>
      <c r="AY215" s="63" t="str">
        <f t="shared" si="312"/>
        <v/>
      </c>
      <c r="AZ215" s="63" t="str">
        <f t="shared" si="312"/>
        <v/>
      </c>
      <c r="BA215" s="63" t="str">
        <f t="shared" si="312"/>
        <v/>
      </c>
      <c r="BB215" s="63" t="str">
        <f t="shared" si="312"/>
        <v/>
      </c>
      <c r="BC215" s="63" t="str">
        <f t="shared" si="312"/>
        <v/>
      </c>
      <c r="BD215" s="63" t="str">
        <f t="shared" si="312"/>
        <v/>
      </c>
      <c r="BE215" s="63" t="str">
        <f t="shared" si="312"/>
        <v/>
      </c>
      <c r="BF215" s="63" t="str">
        <f t="shared" si="312"/>
        <v/>
      </c>
    </row>
    <row r="216" spans="15:77" x14ac:dyDescent="0.5">
      <c r="AF216" s="62">
        <v>0.47</v>
      </c>
      <c r="AG216" s="62" t="e">
        <f t="shared" si="253"/>
        <v>#DIV/0!</v>
      </c>
      <c r="AH216" s="62" t="e">
        <f t="shared" si="254"/>
        <v>#DIV/0!</v>
      </c>
      <c r="AI216" s="62" t="e">
        <f t="shared" si="269"/>
        <v>#DIV/0!</v>
      </c>
      <c r="AJ216" s="62" t="e">
        <f t="shared" si="270"/>
        <v>#DIV/0!</v>
      </c>
      <c r="AK216" s="62" t="e">
        <f t="shared" si="285"/>
        <v>#DIV/0!</v>
      </c>
      <c r="AL216" s="59" t="e">
        <f t="shared" si="264"/>
        <v>#DIV/0!</v>
      </c>
      <c r="AM216" s="101" t="e">
        <f t="shared" si="259"/>
        <v>#DIV/0!</v>
      </c>
    </row>
    <row r="217" spans="15:77" x14ac:dyDescent="0.5">
      <c r="AF217" s="62">
        <v>0.46</v>
      </c>
      <c r="AG217" s="62" t="e">
        <f t="shared" si="253"/>
        <v>#DIV/0!</v>
      </c>
      <c r="AH217" s="62" t="e">
        <f t="shared" si="254"/>
        <v>#DIV/0!</v>
      </c>
      <c r="AI217" s="62" t="e">
        <f t="shared" si="269"/>
        <v>#DIV/0!</v>
      </c>
      <c r="AJ217" s="62" t="e">
        <f t="shared" si="270"/>
        <v>#DIV/0!</v>
      </c>
      <c r="AK217" s="62" t="e">
        <f t="shared" si="285"/>
        <v>#DIV/0!</v>
      </c>
      <c r="AL217" s="59" t="e">
        <f t="shared" si="264"/>
        <v>#DIV/0!</v>
      </c>
      <c r="AM217" s="101" t="e">
        <f t="shared" si="259"/>
        <v>#DIV/0!</v>
      </c>
      <c r="AP217" s="59" t="s">
        <v>299</v>
      </c>
      <c r="AQ217" s="62"/>
      <c r="AR217" s="63" t="str">
        <f>IF(AR$166=1,AR11,"")</f>
        <v/>
      </c>
      <c r="AS217" s="63" t="str">
        <f t="shared" ref="AS217:BF217" si="313">IF(AS$166=1,AS11,"")</f>
        <v/>
      </c>
      <c r="AT217" s="63" t="str">
        <f t="shared" si="313"/>
        <v/>
      </c>
      <c r="AU217" s="63" t="str">
        <f t="shared" si="313"/>
        <v/>
      </c>
      <c r="AV217" s="63" t="str">
        <f t="shared" si="313"/>
        <v/>
      </c>
      <c r="AW217" s="63" t="str">
        <f t="shared" si="313"/>
        <v/>
      </c>
      <c r="AX217" s="63" t="str">
        <f t="shared" si="313"/>
        <v/>
      </c>
      <c r="AY217" s="63" t="str">
        <f t="shared" si="313"/>
        <v/>
      </c>
      <c r="AZ217" s="63" t="str">
        <f t="shared" si="313"/>
        <v/>
      </c>
      <c r="BA217" s="63" t="str">
        <f t="shared" si="313"/>
        <v/>
      </c>
      <c r="BB217" s="63" t="str">
        <f t="shared" si="313"/>
        <v/>
      </c>
      <c r="BC217" s="63" t="str">
        <f t="shared" si="313"/>
        <v/>
      </c>
      <c r="BD217" s="63" t="str">
        <f t="shared" si="313"/>
        <v/>
      </c>
      <c r="BE217" s="63" t="str">
        <f t="shared" si="313"/>
        <v/>
      </c>
      <c r="BF217" s="63" t="str">
        <f t="shared" si="313"/>
        <v/>
      </c>
    </row>
    <row r="218" spans="15:77" x14ac:dyDescent="0.5">
      <c r="AE218" s="104"/>
      <c r="AF218" s="62">
        <v>0.45</v>
      </c>
      <c r="AG218" s="62" t="e">
        <f t="shared" si="253"/>
        <v>#DIV/0!</v>
      </c>
      <c r="AH218" s="62" t="e">
        <f t="shared" si="254"/>
        <v>#DIV/0!</v>
      </c>
      <c r="AI218" s="62" t="e">
        <f t="shared" si="269"/>
        <v>#DIV/0!</v>
      </c>
      <c r="AJ218" s="62" t="e">
        <f t="shared" si="270"/>
        <v>#DIV/0!</v>
      </c>
      <c r="AK218" s="62" t="e">
        <f t="shared" si="285"/>
        <v>#DIV/0!</v>
      </c>
      <c r="AL218" s="59" t="e">
        <f t="shared" si="264"/>
        <v>#DIV/0!</v>
      </c>
      <c r="AM218" s="101" t="e">
        <f t="shared" si="259"/>
        <v>#DIV/0!</v>
      </c>
      <c r="AP218" s="59" t="s">
        <v>308</v>
      </c>
      <c r="AQ218" s="62"/>
      <c r="AR218" s="63" t="str">
        <f>IF(AR$166=1,AR199,"")</f>
        <v/>
      </c>
      <c r="AS218" s="63" t="str">
        <f t="shared" ref="AS218:BF218" si="314">IF(AS$166=1,AS199,"")</f>
        <v/>
      </c>
      <c r="AT218" s="63" t="str">
        <f t="shared" si="314"/>
        <v/>
      </c>
      <c r="AU218" s="63" t="str">
        <f t="shared" si="314"/>
        <v/>
      </c>
      <c r="AV218" s="63" t="str">
        <f t="shared" si="314"/>
        <v/>
      </c>
      <c r="AW218" s="63" t="str">
        <f t="shared" si="314"/>
        <v/>
      </c>
      <c r="AX218" s="63" t="str">
        <f t="shared" si="314"/>
        <v/>
      </c>
      <c r="AY218" s="63" t="str">
        <f t="shared" si="314"/>
        <v/>
      </c>
      <c r="AZ218" s="63" t="str">
        <f t="shared" si="314"/>
        <v/>
      </c>
      <c r="BA218" s="63" t="str">
        <f t="shared" si="314"/>
        <v/>
      </c>
      <c r="BB218" s="63" t="str">
        <f t="shared" si="314"/>
        <v/>
      </c>
      <c r="BC218" s="63" t="str">
        <f t="shared" si="314"/>
        <v/>
      </c>
      <c r="BD218" s="63" t="str">
        <f t="shared" si="314"/>
        <v/>
      </c>
      <c r="BE218" s="63" t="str">
        <f t="shared" si="314"/>
        <v/>
      </c>
      <c r="BF218" s="63" t="str">
        <f t="shared" si="314"/>
        <v/>
      </c>
    </row>
    <row r="219" spans="15:77" x14ac:dyDescent="0.5">
      <c r="AE219" s="104"/>
      <c r="AF219" s="62">
        <v>0.44</v>
      </c>
      <c r="AG219" s="62" t="e">
        <f t="shared" si="253"/>
        <v>#DIV/0!</v>
      </c>
      <c r="AH219" s="62" t="e">
        <f t="shared" si="254"/>
        <v>#DIV/0!</v>
      </c>
      <c r="AI219" s="62" t="e">
        <f t="shared" si="269"/>
        <v>#DIV/0!</v>
      </c>
      <c r="AJ219" s="62" t="e">
        <f t="shared" si="270"/>
        <v>#DIV/0!</v>
      </c>
      <c r="AK219" s="62" t="e">
        <f t="shared" si="285"/>
        <v>#DIV/0!</v>
      </c>
      <c r="AL219" s="59" t="e">
        <f t="shared" si="264"/>
        <v>#DIV/0!</v>
      </c>
      <c r="AM219" s="101" t="e">
        <f t="shared" si="259"/>
        <v>#DIV/0!</v>
      </c>
      <c r="AP219" s="59" t="s">
        <v>69</v>
      </c>
      <c r="AQ219" s="62"/>
      <c r="AR219" s="62" t="str">
        <f>IF(AR217="","",(AR217-AR218)^2)</f>
        <v/>
      </c>
      <c r="AS219" s="62" t="str">
        <f t="shared" ref="AS219:BF219" si="315">IF(AS217="","",(AS217-AS218)^2)</f>
        <v/>
      </c>
      <c r="AT219" s="62" t="str">
        <f t="shared" si="315"/>
        <v/>
      </c>
      <c r="AU219" s="62" t="str">
        <f t="shared" si="315"/>
        <v/>
      </c>
      <c r="AV219" s="62" t="str">
        <f t="shared" si="315"/>
        <v/>
      </c>
      <c r="AW219" s="62" t="str">
        <f t="shared" si="315"/>
        <v/>
      </c>
      <c r="AX219" s="62" t="str">
        <f t="shared" si="315"/>
        <v/>
      </c>
      <c r="AY219" s="62" t="str">
        <f t="shared" si="315"/>
        <v/>
      </c>
      <c r="AZ219" s="62" t="str">
        <f t="shared" si="315"/>
        <v/>
      </c>
      <c r="BA219" s="62" t="str">
        <f t="shared" si="315"/>
        <v/>
      </c>
      <c r="BB219" s="62" t="str">
        <f t="shared" si="315"/>
        <v/>
      </c>
      <c r="BC219" s="62" t="str">
        <f t="shared" si="315"/>
        <v/>
      </c>
      <c r="BD219" s="62" t="str">
        <f t="shared" si="315"/>
        <v/>
      </c>
      <c r="BE219" s="62" t="str">
        <f t="shared" si="315"/>
        <v/>
      </c>
      <c r="BF219" s="62" t="str">
        <f t="shared" si="315"/>
        <v/>
      </c>
    </row>
    <row r="220" spans="15:77" x14ac:dyDescent="0.5">
      <c r="AE220" s="104"/>
      <c r="AF220" s="62">
        <v>0.42999999999999899</v>
      </c>
      <c r="AG220" s="62" t="e">
        <f t="shared" si="253"/>
        <v>#DIV/0!</v>
      </c>
      <c r="AH220" s="62" t="e">
        <f t="shared" si="254"/>
        <v>#DIV/0!</v>
      </c>
      <c r="AI220" s="62" t="e">
        <f t="shared" si="269"/>
        <v>#DIV/0!</v>
      </c>
      <c r="AJ220" s="62" t="e">
        <f t="shared" si="270"/>
        <v>#DIV/0!</v>
      </c>
      <c r="AK220" s="62" t="e">
        <f t="shared" si="285"/>
        <v>#DIV/0!</v>
      </c>
      <c r="AL220" s="59" t="e">
        <f t="shared" si="264"/>
        <v>#DIV/0!</v>
      </c>
      <c r="AM220" s="101" t="e">
        <f t="shared" si="259"/>
        <v>#DIV/0!</v>
      </c>
    </row>
    <row r="221" spans="15:77" x14ac:dyDescent="0.5">
      <c r="AE221" s="104"/>
      <c r="AF221" s="62">
        <v>0.41999999999999899</v>
      </c>
      <c r="AG221" s="62" t="e">
        <f t="shared" si="253"/>
        <v>#DIV/0!</v>
      </c>
      <c r="AH221" s="62" t="e">
        <f t="shared" si="254"/>
        <v>#DIV/0!</v>
      </c>
      <c r="AI221" s="62" t="e">
        <f t="shared" si="269"/>
        <v>#DIV/0!</v>
      </c>
      <c r="AJ221" s="62" t="e">
        <f t="shared" si="270"/>
        <v>#DIV/0!</v>
      </c>
      <c r="AK221" s="62" t="e">
        <f t="shared" si="285"/>
        <v>#DIV/0!</v>
      </c>
      <c r="AL221" s="59" t="e">
        <f t="shared" si="264"/>
        <v>#DIV/0!</v>
      </c>
      <c r="AM221" s="101" t="e">
        <f t="shared" si="259"/>
        <v>#DIV/0!</v>
      </c>
    </row>
    <row r="222" spans="15:77" x14ac:dyDescent="0.5">
      <c r="AE222" s="104"/>
      <c r="AF222" s="62">
        <v>0.40999999999999898</v>
      </c>
      <c r="AG222" s="62" t="e">
        <f t="shared" si="253"/>
        <v>#DIV/0!</v>
      </c>
      <c r="AH222" s="62" t="e">
        <f t="shared" si="254"/>
        <v>#DIV/0!</v>
      </c>
      <c r="AI222" s="62" t="e">
        <f t="shared" si="269"/>
        <v>#DIV/0!</v>
      </c>
      <c r="AJ222" s="62" t="e">
        <f t="shared" si="270"/>
        <v>#DIV/0!</v>
      </c>
      <c r="AK222" s="62" t="e">
        <f t="shared" si="285"/>
        <v>#DIV/0!</v>
      </c>
      <c r="AL222" s="59" t="e">
        <f t="shared" si="264"/>
        <v>#DIV/0!</v>
      </c>
      <c r="AM222" s="101" t="e">
        <f t="shared" si="259"/>
        <v>#DIV/0!</v>
      </c>
    </row>
    <row r="223" spans="15:77" x14ac:dyDescent="0.5">
      <c r="AE223" s="104"/>
      <c r="AF223" s="62">
        <v>0.39999999999999902</v>
      </c>
      <c r="AG223" s="62" t="e">
        <f t="shared" si="253"/>
        <v>#DIV/0!</v>
      </c>
      <c r="AH223" s="62" t="e">
        <f t="shared" si="254"/>
        <v>#DIV/0!</v>
      </c>
      <c r="AI223" s="62" t="e">
        <f t="shared" si="269"/>
        <v>#DIV/0!</v>
      </c>
      <c r="AJ223" s="62" t="e">
        <f t="shared" si="270"/>
        <v>#DIV/0!</v>
      </c>
      <c r="AK223" s="62" t="e">
        <f t="shared" si="285"/>
        <v>#DIV/0!</v>
      </c>
      <c r="AL223" s="59" t="e">
        <f t="shared" si="264"/>
        <v>#DIV/0!</v>
      </c>
      <c r="AM223" s="101" t="e">
        <f t="shared" si="259"/>
        <v>#DIV/0!</v>
      </c>
    </row>
    <row r="224" spans="15:77" x14ac:dyDescent="0.5">
      <c r="AE224" s="104"/>
      <c r="AF224" s="62">
        <v>0.38999999999999901</v>
      </c>
      <c r="AG224" s="62" t="e">
        <f t="shared" si="253"/>
        <v>#DIV/0!</v>
      </c>
      <c r="AH224" s="62" t="e">
        <f t="shared" si="254"/>
        <v>#DIV/0!</v>
      </c>
      <c r="AI224" s="62" t="e">
        <f t="shared" si="269"/>
        <v>#DIV/0!</v>
      </c>
      <c r="AJ224" s="62" t="e">
        <f t="shared" si="270"/>
        <v>#DIV/0!</v>
      </c>
      <c r="AK224" s="62" t="e">
        <f t="shared" si="285"/>
        <v>#DIV/0!</v>
      </c>
      <c r="AL224" s="59" t="e">
        <f t="shared" si="264"/>
        <v>#DIV/0!</v>
      </c>
      <c r="AM224" s="101" t="e">
        <f t="shared" si="259"/>
        <v>#DIV/0!</v>
      </c>
    </row>
    <row r="225" spans="31:39" x14ac:dyDescent="0.5">
      <c r="AE225" s="104"/>
      <c r="AF225" s="62">
        <v>0.37999999999999901</v>
      </c>
      <c r="AG225" s="62" t="e">
        <f t="shared" si="253"/>
        <v>#DIV/0!</v>
      </c>
      <c r="AH225" s="62" t="e">
        <f t="shared" si="254"/>
        <v>#DIV/0!</v>
      </c>
      <c r="AI225" s="62" t="e">
        <f t="shared" si="269"/>
        <v>#DIV/0!</v>
      </c>
      <c r="AJ225" s="62" t="e">
        <f t="shared" si="270"/>
        <v>#DIV/0!</v>
      </c>
      <c r="AK225" s="62" t="e">
        <f t="shared" si="285"/>
        <v>#DIV/0!</v>
      </c>
      <c r="AL225" s="59" t="e">
        <f t="shared" si="264"/>
        <v>#DIV/0!</v>
      </c>
      <c r="AM225" s="101" t="e">
        <f t="shared" si="259"/>
        <v>#DIV/0!</v>
      </c>
    </row>
    <row r="226" spans="31:39" x14ac:dyDescent="0.5">
      <c r="AE226" s="104"/>
      <c r="AF226" s="62">
        <v>0.369999999999999</v>
      </c>
      <c r="AG226" s="62" t="e">
        <f t="shared" si="253"/>
        <v>#DIV/0!</v>
      </c>
      <c r="AH226" s="62" t="e">
        <f t="shared" si="254"/>
        <v>#DIV/0!</v>
      </c>
      <c r="AI226" s="62" t="e">
        <f t="shared" si="269"/>
        <v>#DIV/0!</v>
      </c>
      <c r="AJ226" s="62" t="e">
        <f t="shared" si="270"/>
        <v>#DIV/0!</v>
      </c>
      <c r="AK226" s="62" t="e">
        <f t="shared" si="285"/>
        <v>#DIV/0!</v>
      </c>
      <c r="AL226" s="59" t="e">
        <f t="shared" si="264"/>
        <v>#DIV/0!</v>
      </c>
      <c r="AM226" s="101" t="e">
        <f t="shared" si="259"/>
        <v>#DIV/0!</v>
      </c>
    </row>
    <row r="227" spans="31:39" x14ac:dyDescent="0.5">
      <c r="AE227" s="104"/>
      <c r="AF227" s="62">
        <v>0.35999999999999899</v>
      </c>
      <c r="AG227" s="62" t="e">
        <f t="shared" si="253"/>
        <v>#DIV/0!</v>
      </c>
      <c r="AH227" s="62" t="e">
        <f t="shared" si="254"/>
        <v>#DIV/0!</v>
      </c>
      <c r="AI227" s="62" t="e">
        <f t="shared" si="269"/>
        <v>#DIV/0!</v>
      </c>
      <c r="AJ227" s="62" t="e">
        <f t="shared" si="270"/>
        <v>#DIV/0!</v>
      </c>
      <c r="AK227" s="62" t="e">
        <f t="shared" ref="AK227:AK258" si="316">AI227*AJ227</f>
        <v>#DIV/0!</v>
      </c>
      <c r="AL227" s="59" t="e">
        <f t="shared" si="264"/>
        <v>#DIV/0!</v>
      </c>
      <c r="AM227" s="101" t="e">
        <f t="shared" si="259"/>
        <v>#DIV/0!</v>
      </c>
    </row>
    <row r="228" spans="31:39" x14ac:dyDescent="0.5">
      <c r="AE228" s="104"/>
      <c r="AF228" s="62">
        <v>0.34999999999999898</v>
      </c>
      <c r="AG228" s="62" t="e">
        <f t="shared" ref="AG228:AG263" si="317">AJ228/$AT$183</f>
        <v>#DIV/0!</v>
      </c>
      <c r="AH228" s="62" t="e">
        <f t="shared" ref="AH228:AH263" si="318">AK228/$AT$184</f>
        <v>#DIV/0!</v>
      </c>
      <c r="AI228" s="62" t="e">
        <f t="shared" si="269"/>
        <v>#DIV/0!</v>
      </c>
      <c r="AJ228" s="62" t="e">
        <f t="shared" si="270"/>
        <v>#DIV/0!</v>
      </c>
      <c r="AK228" s="62" t="e">
        <f t="shared" si="316"/>
        <v>#DIV/0!</v>
      </c>
      <c r="AL228" s="59" t="e">
        <f t="shared" si="264"/>
        <v>#DIV/0!</v>
      </c>
      <c r="AM228" s="101" t="e">
        <f t="shared" si="259"/>
        <v>#DIV/0!</v>
      </c>
    </row>
    <row r="229" spans="31:39" x14ac:dyDescent="0.5">
      <c r="AE229" s="104"/>
      <c r="AF229" s="62">
        <v>0.33999999999999903</v>
      </c>
      <c r="AG229" s="62" t="e">
        <f t="shared" si="317"/>
        <v>#DIV/0!</v>
      </c>
      <c r="AH229" s="62" t="e">
        <f t="shared" si="318"/>
        <v>#DIV/0!</v>
      </c>
      <c r="AI229" s="62" t="e">
        <f t="shared" si="269"/>
        <v>#DIV/0!</v>
      </c>
      <c r="AJ229" s="62" t="e">
        <f t="shared" si="270"/>
        <v>#DIV/0!</v>
      </c>
      <c r="AK229" s="62" t="e">
        <f t="shared" si="316"/>
        <v>#DIV/0!</v>
      </c>
      <c r="AL229" s="59" t="e">
        <f t="shared" si="264"/>
        <v>#DIV/0!</v>
      </c>
      <c r="AM229" s="101" t="e">
        <f t="shared" ref="AM229:AM262" si="319">ROUND(((AL228-AL229)/AL228),4)</f>
        <v>#DIV/0!</v>
      </c>
    </row>
    <row r="230" spans="31:39" x14ac:dyDescent="0.5">
      <c r="AE230" s="104"/>
      <c r="AF230" s="62">
        <v>0.32999999999999902</v>
      </c>
      <c r="AG230" s="62" t="e">
        <f t="shared" si="317"/>
        <v>#DIV/0!</v>
      </c>
      <c r="AH230" s="62" t="e">
        <f t="shared" si="318"/>
        <v>#DIV/0!</v>
      </c>
      <c r="AI230" s="62" t="e">
        <f t="shared" si="269"/>
        <v>#DIV/0!</v>
      </c>
      <c r="AJ230" s="62" t="e">
        <f t="shared" si="270"/>
        <v>#DIV/0!</v>
      </c>
      <c r="AK230" s="62" t="e">
        <f t="shared" si="316"/>
        <v>#DIV/0!</v>
      </c>
      <c r="AL230" s="59" t="e">
        <f t="shared" si="264"/>
        <v>#DIV/0!</v>
      </c>
      <c r="AM230" s="101" t="e">
        <f t="shared" si="319"/>
        <v>#DIV/0!</v>
      </c>
    </row>
    <row r="231" spans="31:39" x14ac:dyDescent="0.5">
      <c r="AE231" s="104"/>
      <c r="AF231" s="62">
        <v>0.31999999999999901</v>
      </c>
      <c r="AG231" s="62" t="e">
        <f t="shared" si="317"/>
        <v>#DIV/0!</v>
      </c>
      <c r="AH231" s="62" t="e">
        <f t="shared" si="318"/>
        <v>#DIV/0!</v>
      </c>
      <c r="AI231" s="62" t="e">
        <f t="shared" si="269"/>
        <v>#DIV/0!</v>
      </c>
      <c r="AJ231" s="62" t="e">
        <f t="shared" si="270"/>
        <v>#DIV/0!</v>
      </c>
      <c r="AK231" s="62" t="e">
        <f t="shared" si="316"/>
        <v>#DIV/0!</v>
      </c>
      <c r="AL231" s="59" t="e">
        <f t="shared" si="264"/>
        <v>#DIV/0!</v>
      </c>
      <c r="AM231" s="101" t="e">
        <f t="shared" si="319"/>
        <v>#DIV/0!</v>
      </c>
    </row>
    <row r="232" spans="31:39" x14ac:dyDescent="0.5">
      <c r="AE232" s="104"/>
      <c r="AF232" s="62">
        <v>0.309999999999999</v>
      </c>
      <c r="AG232" s="62" t="e">
        <f t="shared" si="317"/>
        <v>#DIV/0!</v>
      </c>
      <c r="AH232" s="62" t="e">
        <f t="shared" si="318"/>
        <v>#DIV/0!</v>
      </c>
      <c r="AI232" s="62" t="e">
        <f t="shared" si="269"/>
        <v>#DIV/0!</v>
      </c>
      <c r="AJ232" s="62" t="e">
        <f t="shared" si="270"/>
        <v>#DIV/0!</v>
      </c>
      <c r="AK232" s="62" t="e">
        <f t="shared" si="316"/>
        <v>#DIV/0!</v>
      </c>
      <c r="AL232" s="59" t="e">
        <f t="shared" si="264"/>
        <v>#DIV/0!</v>
      </c>
      <c r="AM232" s="101" t="e">
        <f t="shared" si="319"/>
        <v>#DIV/0!</v>
      </c>
    </row>
    <row r="233" spans="31:39" x14ac:dyDescent="0.5">
      <c r="AE233" s="104"/>
      <c r="AF233" s="62">
        <v>0.29999999999999899</v>
      </c>
      <c r="AG233" s="62" t="e">
        <f t="shared" si="317"/>
        <v>#DIV/0!</v>
      </c>
      <c r="AH233" s="62" t="e">
        <f t="shared" si="318"/>
        <v>#DIV/0!</v>
      </c>
      <c r="AI233" s="62" t="e">
        <f t="shared" si="269"/>
        <v>#DIV/0!</v>
      </c>
      <c r="AJ233" s="62" t="e">
        <f t="shared" si="270"/>
        <v>#DIV/0!</v>
      </c>
      <c r="AK233" s="62" t="e">
        <f t="shared" si="316"/>
        <v>#DIV/0!</v>
      </c>
      <c r="AL233" s="59" t="e">
        <f t="shared" ref="AL233:AL258" si="320">ROUND(SLOPE(AI229:AI237,AJ229:AJ237),0)</f>
        <v>#DIV/0!</v>
      </c>
      <c r="AM233" s="101" t="e">
        <f t="shared" si="319"/>
        <v>#DIV/0!</v>
      </c>
    </row>
    <row r="234" spans="31:39" x14ac:dyDescent="0.5">
      <c r="AE234" s="104"/>
      <c r="AF234" s="62">
        <v>0.28999999999999898</v>
      </c>
      <c r="AG234" s="62" t="e">
        <f t="shared" si="317"/>
        <v>#DIV/0!</v>
      </c>
      <c r="AH234" s="62" t="e">
        <f t="shared" si="318"/>
        <v>#DIV/0!</v>
      </c>
      <c r="AI234" s="62" t="e">
        <f t="shared" ref="AI234:AI263" si="321">$AT$178*AF234</f>
        <v>#DIV/0!</v>
      </c>
      <c r="AJ234" s="62" t="e">
        <f t="shared" ref="AJ234:AJ263" si="322">(1/(1+EXP($AT$181-AI234/$AT$178)^$AT$180))*((AI234-$AT$178)/$AT$179)+(1/(1+EXP(AI234/$AT$178-$AT$181)^$AT$180))*((($AT$175-AI234)*$AT$177)/(AI234+$AT$176))</f>
        <v>#DIV/0!</v>
      </c>
      <c r="AK234" s="62" t="e">
        <f t="shared" si="316"/>
        <v>#DIV/0!</v>
      </c>
      <c r="AL234" s="59" t="e">
        <f t="shared" si="320"/>
        <v>#DIV/0!</v>
      </c>
      <c r="AM234" s="101" t="e">
        <f t="shared" si="319"/>
        <v>#DIV/0!</v>
      </c>
    </row>
    <row r="235" spans="31:39" x14ac:dyDescent="0.5">
      <c r="AE235" s="104"/>
      <c r="AF235" s="62">
        <v>0.27999999999999903</v>
      </c>
      <c r="AG235" s="62" t="e">
        <f t="shared" si="317"/>
        <v>#DIV/0!</v>
      </c>
      <c r="AH235" s="62" t="e">
        <f t="shared" si="318"/>
        <v>#DIV/0!</v>
      </c>
      <c r="AI235" s="62" t="e">
        <f t="shared" si="321"/>
        <v>#DIV/0!</v>
      </c>
      <c r="AJ235" s="62" t="e">
        <f t="shared" si="322"/>
        <v>#DIV/0!</v>
      </c>
      <c r="AK235" s="62" t="e">
        <f t="shared" si="316"/>
        <v>#DIV/0!</v>
      </c>
      <c r="AL235" s="59" t="e">
        <f t="shared" si="320"/>
        <v>#DIV/0!</v>
      </c>
      <c r="AM235" s="101" t="e">
        <f t="shared" si="319"/>
        <v>#DIV/0!</v>
      </c>
    </row>
    <row r="236" spans="31:39" x14ac:dyDescent="0.5">
      <c r="AE236" s="104"/>
      <c r="AF236" s="62">
        <v>0.26999999999999902</v>
      </c>
      <c r="AG236" s="62" t="e">
        <f t="shared" si="317"/>
        <v>#DIV/0!</v>
      </c>
      <c r="AH236" s="62" t="e">
        <f t="shared" si="318"/>
        <v>#DIV/0!</v>
      </c>
      <c r="AI236" s="62" t="e">
        <f t="shared" si="321"/>
        <v>#DIV/0!</v>
      </c>
      <c r="AJ236" s="62" t="e">
        <f t="shared" si="322"/>
        <v>#DIV/0!</v>
      </c>
      <c r="AK236" s="62" t="e">
        <f t="shared" si="316"/>
        <v>#DIV/0!</v>
      </c>
      <c r="AL236" s="59" t="e">
        <f t="shared" si="320"/>
        <v>#DIV/0!</v>
      </c>
      <c r="AM236" s="101" t="e">
        <f t="shared" si="319"/>
        <v>#DIV/0!</v>
      </c>
    </row>
    <row r="237" spans="31:39" x14ac:dyDescent="0.5">
      <c r="AE237" s="104"/>
      <c r="AF237" s="62">
        <v>0.25999999999999901</v>
      </c>
      <c r="AG237" s="62" t="e">
        <f t="shared" si="317"/>
        <v>#DIV/0!</v>
      </c>
      <c r="AH237" s="62" t="e">
        <f t="shared" si="318"/>
        <v>#DIV/0!</v>
      </c>
      <c r="AI237" s="62" t="e">
        <f t="shared" si="321"/>
        <v>#DIV/0!</v>
      </c>
      <c r="AJ237" s="62" t="e">
        <f t="shared" si="322"/>
        <v>#DIV/0!</v>
      </c>
      <c r="AK237" s="62" t="e">
        <f t="shared" si="316"/>
        <v>#DIV/0!</v>
      </c>
      <c r="AL237" s="59" t="e">
        <f t="shared" si="320"/>
        <v>#DIV/0!</v>
      </c>
      <c r="AM237" s="101" t="e">
        <f t="shared" si="319"/>
        <v>#DIV/0!</v>
      </c>
    </row>
    <row r="238" spans="31:39" x14ac:dyDescent="0.5">
      <c r="AE238" s="104"/>
      <c r="AF238" s="62">
        <v>0.249999999999999</v>
      </c>
      <c r="AG238" s="62" t="e">
        <f t="shared" si="317"/>
        <v>#DIV/0!</v>
      </c>
      <c r="AH238" s="62" t="e">
        <f t="shared" si="318"/>
        <v>#DIV/0!</v>
      </c>
      <c r="AI238" s="62" t="e">
        <f t="shared" si="321"/>
        <v>#DIV/0!</v>
      </c>
      <c r="AJ238" s="62" t="e">
        <f t="shared" si="322"/>
        <v>#DIV/0!</v>
      </c>
      <c r="AK238" s="62" t="e">
        <f t="shared" si="316"/>
        <v>#DIV/0!</v>
      </c>
      <c r="AL238" s="59" t="e">
        <f t="shared" si="320"/>
        <v>#DIV/0!</v>
      </c>
      <c r="AM238" s="101" t="e">
        <f t="shared" si="319"/>
        <v>#DIV/0!</v>
      </c>
    </row>
    <row r="239" spans="31:39" x14ac:dyDescent="0.5">
      <c r="AE239" s="104"/>
      <c r="AF239" s="62">
        <v>0.23999999999999899</v>
      </c>
      <c r="AG239" s="62" t="e">
        <f t="shared" si="317"/>
        <v>#DIV/0!</v>
      </c>
      <c r="AH239" s="62" t="e">
        <f t="shared" si="318"/>
        <v>#DIV/0!</v>
      </c>
      <c r="AI239" s="62" t="e">
        <f t="shared" si="321"/>
        <v>#DIV/0!</v>
      </c>
      <c r="AJ239" s="62" t="e">
        <f t="shared" si="322"/>
        <v>#DIV/0!</v>
      </c>
      <c r="AK239" s="62" t="e">
        <f t="shared" si="316"/>
        <v>#DIV/0!</v>
      </c>
      <c r="AL239" s="59" t="e">
        <f t="shared" si="320"/>
        <v>#DIV/0!</v>
      </c>
      <c r="AM239" s="101" t="e">
        <f t="shared" si="319"/>
        <v>#DIV/0!</v>
      </c>
    </row>
    <row r="240" spans="31:39" x14ac:dyDescent="0.5">
      <c r="AE240" s="104"/>
      <c r="AF240" s="62">
        <v>0.22999999999999901</v>
      </c>
      <c r="AG240" s="62" t="e">
        <f t="shared" si="317"/>
        <v>#DIV/0!</v>
      </c>
      <c r="AH240" s="62" t="e">
        <f t="shared" si="318"/>
        <v>#DIV/0!</v>
      </c>
      <c r="AI240" s="62" t="e">
        <f t="shared" si="321"/>
        <v>#DIV/0!</v>
      </c>
      <c r="AJ240" s="62" t="e">
        <f t="shared" si="322"/>
        <v>#DIV/0!</v>
      </c>
      <c r="AK240" s="62" t="e">
        <f t="shared" si="316"/>
        <v>#DIV/0!</v>
      </c>
      <c r="AL240" s="59" t="e">
        <f t="shared" si="320"/>
        <v>#DIV/0!</v>
      </c>
      <c r="AM240" s="101" t="e">
        <f t="shared" si="319"/>
        <v>#DIV/0!</v>
      </c>
    </row>
    <row r="241" spans="31:39" x14ac:dyDescent="0.5">
      <c r="AE241" s="104"/>
      <c r="AF241" s="62">
        <v>0.219999999999999</v>
      </c>
      <c r="AG241" s="62" t="e">
        <f t="shared" si="317"/>
        <v>#DIV/0!</v>
      </c>
      <c r="AH241" s="62" t="e">
        <f t="shared" si="318"/>
        <v>#DIV/0!</v>
      </c>
      <c r="AI241" s="62" t="e">
        <f t="shared" si="321"/>
        <v>#DIV/0!</v>
      </c>
      <c r="AJ241" s="62" t="e">
        <f t="shared" si="322"/>
        <v>#DIV/0!</v>
      </c>
      <c r="AK241" s="62" t="e">
        <f t="shared" si="316"/>
        <v>#DIV/0!</v>
      </c>
      <c r="AL241" s="59" t="e">
        <f t="shared" si="320"/>
        <v>#DIV/0!</v>
      </c>
      <c r="AM241" s="101" t="e">
        <f t="shared" si="319"/>
        <v>#DIV/0!</v>
      </c>
    </row>
    <row r="242" spans="31:39" x14ac:dyDescent="0.5">
      <c r="AE242" s="104"/>
      <c r="AF242" s="62">
        <v>0.20999999999999899</v>
      </c>
      <c r="AG242" s="62" t="e">
        <f t="shared" si="317"/>
        <v>#DIV/0!</v>
      </c>
      <c r="AH242" s="62" t="e">
        <f t="shared" si="318"/>
        <v>#DIV/0!</v>
      </c>
      <c r="AI242" s="62" t="e">
        <f t="shared" si="321"/>
        <v>#DIV/0!</v>
      </c>
      <c r="AJ242" s="62" t="e">
        <f t="shared" si="322"/>
        <v>#DIV/0!</v>
      </c>
      <c r="AK242" s="62" t="e">
        <f t="shared" si="316"/>
        <v>#DIV/0!</v>
      </c>
      <c r="AL242" s="59" t="e">
        <f t="shared" si="320"/>
        <v>#DIV/0!</v>
      </c>
      <c r="AM242" s="101" t="e">
        <f t="shared" si="319"/>
        <v>#DIV/0!</v>
      </c>
    </row>
    <row r="243" spans="31:39" x14ac:dyDescent="0.5">
      <c r="AE243" s="104"/>
      <c r="AF243" s="62">
        <v>0.19999999999999901</v>
      </c>
      <c r="AG243" s="62" t="e">
        <f t="shared" si="317"/>
        <v>#DIV/0!</v>
      </c>
      <c r="AH243" s="62" t="e">
        <f t="shared" si="318"/>
        <v>#DIV/0!</v>
      </c>
      <c r="AI243" s="62" t="e">
        <f t="shared" si="321"/>
        <v>#DIV/0!</v>
      </c>
      <c r="AJ243" s="62" t="e">
        <f t="shared" si="322"/>
        <v>#DIV/0!</v>
      </c>
      <c r="AK243" s="62" t="e">
        <f t="shared" si="316"/>
        <v>#DIV/0!</v>
      </c>
      <c r="AL243" s="59" t="e">
        <f t="shared" si="320"/>
        <v>#DIV/0!</v>
      </c>
      <c r="AM243" s="101" t="e">
        <f t="shared" si="319"/>
        <v>#DIV/0!</v>
      </c>
    </row>
    <row r="244" spans="31:39" x14ac:dyDescent="0.5">
      <c r="AE244" s="104"/>
      <c r="AF244" s="62">
        <v>0.189999999999999</v>
      </c>
      <c r="AG244" s="62" t="e">
        <f t="shared" si="317"/>
        <v>#DIV/0!</v>
      </c>
      <c r="AH244" s="62" t="e">
        <f t="shared" si="318"/>
        <v>#DIV/0!</v>
      </c>
      <c r="AI244" s="62" t="e">
        <f t="shared" si="321"/>
        <v>#DIV/0!</v>
      </c>
      <c r="AJ244" s="62" t="e">
        <f t="shared" si="322"/>
        <v>#DIV/0!</v>
      </c>
      <c r="AK244" s="62" t="e">
        <f t="shared" si="316"/>
        <v>#DIV/0!</v>
      </c>
      <c r="AL244" s="59" t="e">
        <f t="shared" si="320"/>
        <v>#DIV/0!</v>
      </c>
      <c r="AM244" s="101" t="e">
        <f t="shared" si="319"/>
        <v>#DIV/0!</v>
      </c>
    </row>
    <row r="245" spans="31:39" x14ac:dyDescent="0.5">
      <c r="AE245" s="104"/>
      <c r="AF245" s="62">
        <v>0.17999999999999899</v>
      </c>
      <c r="AG245" s="62" t="e">
        <f t="shared" si="317"/>
        <v>#DIV/0!</v>
      </c>
      <c r="AH245" s="62" t="e">
        <f t="shared" si="318"/>
        <v>#DIV/0!</v>
      </c>
      <c r="AI245" s="62" t="e">
        <f t="shared" si="321"/>
        <v>#DIV/0!</v>
      </c>
      <c r="AJ245" s="62" t="e">
        <f t="shared" si="322"/>
        <v>#DIV/0!</v>
      </c>
      <c r="AK245" s="62" t="e">
        <f t="shared" si="316"/>
        <v>#DIV/0!</v>
      </c>
      <c r="AL245" s="59" t="e">
        <f t="shared" si="320"/>
        <v>#DIV/0!</v>
      </c>
      <c r="AM245" s="101" t="e">
        <f t="shared" si="319"/>
        <v>#DIV/0!</v>
      </c>
    </row>
    <row r="246" spans="31:39" x14ac:dyDescent="0.5">
      <c r="AE246" s="104"/>
      <c r="AF246" s="62">
        <v>0.16999999999999901</v>
      </c>
      <c r="AG246" s="62" t="e">
        <f t="shared" si="317"/>
        <v>#DIV/0!</v>
      </c>
      <c r="AH246" s="62" t="e">
        <f t="shared" si="318"/>
        <v>#DIV/0!</v>
      </c>
      <c r="AI246" s="62" t="e">
        <f t="shared" si="321"/>
        <v>#DIV/0!</v>
      </c>
      <c r="AJ246" s="62" t="e">
        <f t="shared" si="322"/>
        <v>#DIV/0!</v>
      </c>
      <c r="AK246" s="62" t="e">
        <f t="shared" si="316"/>
        <v>#DIV/0!</v>
      </c>
      <c r="AL246" s="59" t="e">
        <f t="shared" si="320"/>
        <v>#DIV/0!</v>
      </c>
      <c r="AM246" s="101" t="e">
        <f t="shared" si="319"/>
        <v>#DIV/0!</v>
      </c>
    </row>
    <row r="247" spans="31:39" x14ac:dyDescent="0.5">
      <c r="AE247" s="104"/>
      <c r="AF247" s="62">
        <v>0.159999999999999</v>
      </c>
      <c r="AG247" s="62" t="e">
        <f t="shared" si="317"/>
        <v>#DIV/0!</v>
      </c>
      <c r="AH247" s="62" t="e">
        <f t="shared" si="318"/>
        <v>#DIV/0!</v>
      </c>
      <c r="AI247" s="62" t="e">
        <f t="shared" si="321"/>
        <v>#DIV/0!</v>
      </c>
      <c r="AJ247" s="62" t="e">
        <f t="shared" si="322"/>
        <v>#DIV/0!</v>
      </c>
      <c r="AK247" s="62" t="e">
        <f t="shared" si="316"/>
        <v>#DIV/0!</v>
      </c>
      <c r="AL247" s="59" t="e">
        <f t="shared" si="320"/>
        <v>#DIV/0!</v>
      </c>
      <c r="AM247" s="101" t="e">
        <f t="shared" si="319"/>
        <v>#DIV/0!</v>
      </c>
    </row>
    <row r="248" spans="31:39" x14ac:dyDescent="0.5">
      <c r="AE248" s="104"/>
      <c r="AF248" s="62">
        <v>0.149999999999999</v>
      </c>
      <c r="AG248" s="62" t="e">
        <f t="shared" si="317"/>
        <v>#DIV/0!</v>
      </c>
      <c r="AH248" s="62" t="e">
        <f t="shared" si="318"/>
        <v>#DIV/0!</v>
      </c>
      <c r="AI248" s="62" t="e">
        <f t="shared" si="321"/>
        <v>#DIV/0!</v>
      </c>
      <c r="AJ248" s="62" t="e">
        <f t="shared" si="322"/>
        <v>#DIV/0!</v>
      </c>
      <c r="AK248" s="62" t="e">
        <f t="shared" si="316"/>
        <v>#DIV/0!</v>
      </c>
      <c r="AL248" s="59" t="e">
        <f t="shared" si="320"/>
        <v>#DIV/0!</v>
      </c>
      <c r="AM248" s="101" t="e">
        <f t="shared" si="319"/>
        <v>#DIV/0!</v>
      </c>
    </row>
    <row r="249" spans="31:39" x14ac:dyDescent="0.5">
      <c r="AE249" s="104"/>
      <c r="AF249" s="62">
        <v>0.13999999999999899</v>
      </c>
      <c r="AG249" s="62" t="e">
        <f t="shared" si="317"/>
        <v>#DIV/0!</v>
      </c>
      <c r="AH249" s="62" t="e">
        <f t="shared" si="318"/>
        <v>#DIV/0!</v>
      </c>
      <c r="AI249" s="62" t="e">
        <f t="shared" si="321"/>
        <v>#DIV/0!</v>
      </c>
      <c r="AJ249" s="62" t="e">
        <f t="shared" si="322"/>
        <v>#DIV/0!</v>
      </c>
      <c r="AK249" s="62" t="e">
        <f t="shared" si="316"/>
        <v>#DIV/0!</v>
      </c>
      <c r="AL249" s="59" t="e">
        <f t="shared" si="320"/>
        <v>#DIV/0!</v>
      </c>
      <c r="AM249" s="101" t="e">
        <f t="shared" si="319"/>
        <v>#DIV/0!</v>
      </c>
    </row>
    <row r="250" spans="31:39" x14ac:dyDescent="0.5">
      <c r="AE250" s="104"/>
      <c r="AF250" s="62">
        <v>0.12999999999999901</v>
      </c>
      <c r="AG250" s="62" t="e">
        <f t="shared" si="317"/>
        <v>#DIV/0!</v>
      </c>
      <c r="AH250" s="62" t="e">
        <f t="shared" si="318"/>
        <v>#DIV/0!</v>
      </c>
      <c r="AI250" s="62" t="e">
        <f t="shared" si="321"/>
        <v>#DIV/0!</v>
      </c>
      <c r="AJ250" s="62" t="e">
        <f t="shared" si="322"/>
        <v>#DIV/0!</v>
      </c>
      <c r="AK250" s="62" t="e">
        <f t="shared" si="316"/>
        <v>#DIV/0!</v>
      </c>
      <c r="AL250" s="59" t="e">
        <f t="shared" si="320"/>
        <v>#DIV/0!</v>
      </c>
      <c r="AM250" s="101" t="e">
        <f t="shared" si="319"/>
        <v>#DIV/0!</v>
      </c>
    </row>
    <row r="251" spans="31:39" x14ac:dyDescent="0.5">
      <c r="AE251" s="104"/>
      <c r="AF251" s="62">
        <v>0.119999999999999</v>
      </c>
      <c r="AG251" s="62" t="e">
        <f t="shared" si="317"/>
        <v>#DIV/0!</v>
      </c>
      <c r="AH251" s="62" t="e">
        <f t="shared" si="318"/>
        <v>#DIV/0!</v>
      </c>
      <c r="AI251" s="62" t="e">
        <f t="shared" si="321"/>
        <v>#DIV/0!</v>
      </c>
      <c r="AJ251" s="62" t="e">
        <f t="shared" si="322"/>
        <v>#DIV/0!</v>
      </c>
      <c r="AK251" s="62" t="e">
        <f t="shared" si="316"/>
        <v>#DIV/0!</v>
      </c>
      <c r="AL251" s="59" t="e">
        <f t="shared" si="320"/>
        <v>#DIV/0!</v>
      </c>
      <c r="AM251" s="101" t="e">
        <f t="shared" si="319"/>
        <v>#DIV/0!</v>
      </c>
    </row>
    <row r="252" spans="31:39" x14ac:dyDescent="0.5">
      <c r="AE252" s="104"/>
      <c r="AF252" s="62">
        <v>0.109999999999999</v>
      </c>
      <c r="AG252" s="62" t="e">
        <f t="shared" si="317"/>
        <v>#DIV/0!</v>
      </c>
      <c r="AH252" s="62" t="e">
        <f t="shared" si="318"/>
        <v>#DIV/0!</v>
      </c>
      <c r="AI252" s="62" t="e">
        <f t="shared" si="321"/>
        <v>#DIV/0!</v>
      </c>
      <c r="AJ252" s="62" t="e">
        <f t="shared" si="322"/>
        <v>#DIV/0!</v>
      </c>
      <c r="AK252" s="62" t="e">
        <f t="shared" si="316"/>
        <v>#DIV/0!</v>
      </c>
      <c r="AL252" s="59" t="e">
        <f t="shared" si="320"/>
        <v>#DIV/0!</v>
      </c>
      <c r="AM252" s="101" t="e">
        <f t="shared" si="319"/>
        <v>#DIV/0!</v>
      </c>
    </row>
    <row r="253" spans="31:39" x14ac:dyDescent="0.5">
      <c r="AE253" s="104"/>
      <c r="AF253" s="62">
        <v>9.9999999999999006E-2</v>
      </c>
      <c r="AG253" s="62" t="e">
        <f t="shared" si="317"/>
        <v>#DIV/0!</v>
      </c>
      <c r="AH253" s="62" t="e">
        <f t="shared" si="318"/>
        <v>#DIV/0!</v>
      </c>
      <c r="AI253" s="62" t="e">
        <f t="shared" si="321"/>
        <v>#DIV/0!</v>
      </c>
      <c r="AJ253" s="62" t="e">
        <f t="shared" si="322"/>
        <v>#DIV/0!</v>
      </c>
      <c r="AK253" s="62" t="e">
        <f t="shared" si="316"/>
        <v>#DIV/0!</v>
      </c>
      <c r="AL253" s="59" t="e">
        <f t="shared" si="320"/>
        <v>#DIV/0!</v>
      </c>
      <c r="AM253" s="101" t="e">
        <f t="shared" si="319"/>
        <v>#DIV/0!</v>
      </c>
    </row>
    <row r="254" spans="31:39" x14ac:dyDescent="0.5">
      <c r="AE254" s="104"/>
      <c r="AF254" s="62">
        <v>8.9999999999998997E-2</v>
      </c>
      <c r="AG254" s="62" t="e">
        <f t="shared" si="317"/>
        <v>#DIV/0!</v>
      </c>
      <c r="AH254" s="62" t="e">
        <f t="shared" si="318"/>
        <v>#DIV/0!</v>
      </c>
      <c r="AI254" s="62" t="e">
        <f t="shared" si="321"/>
        <v>#DIV/0!</v>
      </c>
      <c r="AJ254" s="62" t="e">
        <f t="shared" si="322"/>
        <v>#DIV/0!</v>
      </c>
      <c r="AK254" s="62" t="e">
        <f t="shared" si="316"/>
        <v>#DIV/0!</v>
      </c>
      <c r="AL254" s="59" t="e">
        <f t="shared" si="320"/>
        <v>#DIV/0!</v>
      </c>
      <c r="AM254" s="101" t="e">
        <f t="shared" si="319"/>
        <v>#DIV/0!</v>
      </c>
    </row>
    <row r="255" spans="31:39" x14ac:dyDescent="0.5">
      <c r="AE255" s="104"/>
      <c r="AF255" s="62">
        <v>7.9999999999999002E-2</v>
      </c>
      <c r="AG255" s="62" t="e">
        <f t="shared" si="317"/>
        <v>#DIV/0!</v>
      </c>
      <c r="AH255" s="62" t="e">
        <f t="shared" si="318"/>
        <v>#DIV/0!</v>
      </c>
      <c r="AI255" s="62" t="e">
        <f t="shared" si="321"/>
        <v>#DIV/0!</v>
      </c>
      <c r="AJ255" s="62" t="e">
        <f t="shared" si="322"/>
        <v>#DIV/0!</v>
      </c>
      <c r="AK255" s="62" t="e">
        <f t="shared" si="316"/>
        <v>#DIV/0!</v>
      </c>
      <c r="AL255" s="59" t="e">
        <f t="shared" si="320"/>
        <v>#DIV/0!</v>
      </c>
      <c r="AM255" s="101" t="e">
        <f t="shared" si="319"/>
        <v>#DIV/0!</v>
      </c>
    </row>
    <row r="256" spans="31:39" x14ac:dyDescent="0.5">
      <c r="AE256" s="104"/>
      <c r="AF256" s="62">
        <v>6.9999999999998994E-2</v>
      </c>
      <c r="AG256" s="62" t="e">
        <f t="shared" si="317"/>
        <v>#DIV/0!</v>
      </c>
      <c r="AH256" s="62" t="e">
        <f t="shared" si="318"/>
        <v>#DIV/0!</v>
      </c>
      <c r="AI256" s="62" t="e">
        <f t="shared" si="321"/>
        <v>#DIV/0!</v>
      </c>
      <c r="AJ256" s="62" t="e">
        <f t="shared" si="322"/>
        <v>#DIV/0!</v>
      </c>
      <c r="AK256" s="62" t="e">
        <f t="shared" si="316"/>
        <v>#DIV/0!</v>
      </c>
      <c r="AL256" s="59" t="e">
        <f t="shared" si="320"/>
        <v>#DIV/0!</v>
      </c>
      <c r="AM256" s="101" t="e">
        <f t="shared" si="319"/>
        <v>#DIV/0!</v>
      </c>
    </row>
    <row r="257" spans="31:39" x14ac:dyDescent="0.5">
      <c r="AE257" s="104"/>
      <c r="AF257" s="62">
        <v>5.9999999999999103E-2</v>
      </c>
      <c r="AG257" s="62" t="e">
        <f t="shared" si="317"/>
        <v>#DIV/0!</v>
      </c>
      <c r="AH257" s="62" t="e">
        <f t="shared" si="318"/>
        <v>#DIV/0!</v>
      </c>
      <c r="AI257" s="62" t="e">
        <f t="shared" si="321"/>
        <v>#DIV/0!</v>
      </c>
      <c r="AJ257" s="62" t="e">
        <f t="shared" si="322"/>
        <v>#DIV/0!</v>
      </c>
      <c r="AK257" s="62" t="e">
        <f t="shared" si="316"/>
        <v>#DIV/0!</v>
      </c>
      <c r="AL257" s="59" t="e">
        <f t="shared" si="320"/>
        <v>#DIV/0!</v>
      </c>
      <c r="AM257" s="101" t="e">
        <f t="shared" si="319"/>
        <v>#DIV/0!</v>
      </c>
    </row>
    <row r="258" spans="31:39" x14ac:dyDescent="0.5">
      <c r="AE258" s="104"/>
      <c r="AF258" s="62">
        <v>4.9999999999998997E-2</v>
      </c>
      <c r="AG258" s="62" t="e">
        <f t="shared" si="317"/>
        <v>#DIV/0!</v>
      </c>
      <c r="AH258" s="62" t="e">
        <f t="shared" si="318"/>
        <v>#DIV/0!</v>
      </c>
      <c r="AI258" s="62" t="e">
        <f t="shared" si="321"/>
        <v>#DIV/0!</v>
      </c>
      <c r="AJ258" s="62" t="e">
        <f t="shared" si="322"/>
        <v>#DIV/0!</v>
      </c>
      <c r="AK258" s="62" t="e">
        <f t="shared" si="316"/>
        <v>#DIV/0!</v>
      </c>
      <c r="AL258" s="59" t="e">
        <f t="shared" si="320"/>
        <v>#DIV/0!</v>
      </c>
      <c r="AM258" s="101" t="e">
        <f t="shared" si="319"/>
        <v>#DIV/0!</v>
      </c>
    </row>
    <row r="259" spans="31:39" x14ac:dyDescent="0.5">
      <c r="AE259" s="104"/>
      <c r="AF259" s="62">
        <v>3.9999999999999002E-2</v>
      </c>
      <c r="AG259" s="62" t="e">
        <f t="shared" si="317"/>
        <v>#DIV/0!</v>
      </c>
      <c r="AH259" s="62" t="e">
        <f t="shared" si="318"/>
        <v>#DIV/0!</v>
      </c>
      <c r="AI259" s="62" t="e">
        <f t="shared" si="321"/>
        <v>#DIV/0!</v>
      </c>
      <c r="AJ259" s="62" t="e">
        <f t="shared" si="322"/>
        <v>#DIV/0!</v>
      </c>
      <c r="AK259" s="62" t="e">
        <f t="shared" ref="AK259:AK263" si="323">AI259*AJ259</f>
        <v>#DIV/0!</v>
      </c>
      <c r="AL259" s="59" t="e">
        <f>ROUND(SLOPE(AI255:AI263,AJ255:AJ263),0)</f>
        <v>#DIV/0!</v>
      </c>
      <c r="AM259" s="101" t="e">
        <f t="shared" si="319"/>
        <v>#DIV/0!</v>
      </c>
    </row>
    <row r="260" spans="31:39" x14ac:dyDescent="0.5">
      <c r="AE260" s="104"/>
      <c r="AF260" s="62">
        <v>2.9999999999999E-2</v>
      </c>
      <c r="AG260" s="62" t="e">
        <f t="shared" si="317"/>
        <v>#DIV/0!</v>
      </c>
      <c r="AH260" s="62" t="e">
        <f t="shared" si="318"/>
        <v>#DIV/0!</v>
      </c>
      <c r="AI260" s="62" t="e">
        <f t="shared" si="321"/>
        <v>#DIV/0!</v>
      </c>
      <c r="AJ260" s="62" t="e">
        <f t="shared" si="322"/>
        <v>#DIV/0!</v>
      </c>
      <c r="AK260" s="62" t="e">
        <f t="shared" si="323"/>
        <v>#DIV/0!</v>
      </c>
      <c r="AL260" s="59" t="e">
        <f>ROUND(SLOPE(AI256:AI263,AJ256:AJ263),0)</f>
        <v>#DIV/0!</v>
      </c>
      <c r="AM260" s="101" t="e">
        <f t="shared" si="319"/>
        <v>#DIV/0!</v>
      </c>
    </row>
    <row r="261" spans="31:39" x14ac:dyDescent="0.5">
      <c r="AE261" s="104"/>
      <c r="AF261" s="62">
        <v>1.9999999999999001E-2</v>
      </c>
      <c r="AG261" s="62" t="e">
        <f t="shared" si="317"/>
        <v>#DIV/0!</v>
      </c>
      <c r="AH261" s="62" t="e">
        <f t="shared" si="318"/>
        <v>#DIV/0!</v>
      </c>
      <c r="AI261" s="62" t="e">
        <f t="shared" si="321"/>
        <v>#DIV/0!</v>
      </c>
      <c r="AJ261" s="62" t="e">
        <f t="shared" si="322"/>
        <v>#DIV/0!</v>
      </c>
      <c r="AK261" s="62" t="e">
        <f t="shared" si="323"/>
        <v>#DIV/0!</v>
      </c>
      <c r="AL261" s="59" t="e">
        <f>ROUND(SLOPE(AI257:AI263,AJ257:AJ263),0)</f>
        <v>#DIV/0!</v>
      </c>
      <c r="AM261" s="101" t="e">
        <f t="shared" si="319"/>
        <v>#DIV/0!</v>
      </c>
    </row>
    <row r="262" spans="31:39" x14ac:dyDescent="0.5">
      <c r="AE262" s="104"/>
      <c r="AF262" s="62">
        <v>9.9999999999990097E-3</v>
      </c>
      <c r="AG262" s="62" t="e">
        <f t="shared" si="317"/>
        <v>#DIV/0!</v>
      </c>
      <c r="AH262" s="62" t="e">
        <f t="shared" si="318"/>
        <v>#DIV/0!</v>
      </c>
      <c r="AI262" s="62" t="e">
        <f t="shared" si="321"/>
        <v>#DIV/0!</v>
      </c>
      <c r="AJ262" s="62" t="e">
        <f t="shared" si="322"/>
        <v>#DIV/0!</v>
      </c>
      <c r="AK262" s="62" t="e">
        <f t="shared" si="323"/>
        <v>#DIV/0!</v>
      </c>
      <c r="AL262" s="59" t="e">
        <f>ROUND(SLOPE(AI258:AI263,AJ258:AJ263),0)</f>
        <v>#DIV/0!</v>
      </c>
      <c r="AM262" s="101" t="e">
        <f t="shared" si="319"/>
        <v>#DIV/0!</v>
      </c>
    </row>
    <row r="263" spans="31:39" x14ac:dyDescent="0.5">
      <c r="AE263" s="104"/>
      <c r="AF263" s="62">
        <v>0</v>
      </c>
      <c r="AG263" s="62" t="e">
        <f t="shared" si="317"/>
        <v>#DIV/0!</v>
      </c>
      <c r="AH263" s="62" t="e">
        <f t="shared" si="318"/>
        <v>#DIV/0!</v>
      </c>
      <c r="AI263" s="62" t="e">
        <f t="shared" si="321"/>
        <v>#DIV/0!</v>
      </c>
      <c r="AJ263" s="62" t="e">
        <f t="shared" si="322"/>
        <v>#DIV/0!</v>
      </c>
      <c r="AK263" s="62" t="e">
        <f t="shared" si="323"/>
        <v>#DIV/0!</v>
      </c>
      <c r="AL263" s="59" t="e">
        <f>ROUND(SLOPE(AI259:AI263,AJ259:AJ263),0)</f>
        <v>#DIV/0!</v>
      </c>
      <c r="AM263" s="101" t="e">
        <f>ROUND(((AL262-AL263)/AL262),4)</f>
        <v>#DIV/0!</v>
      </c>
    </row>
  </sheetData>
  <sheetProtection algorithmName="SHA-512" hashValue="cgLGl3VYNyRhzxYWk0iOzITUxfsT6APw/NwufdkPbTyWibnAhb+02rkwmhdZ+yZjTfAX6EU6LfFLYMm9PqVg2g==" saltValue="+Gpus49fLyCyoS8og8SISQ==" spinCount="100000" sheet="1" objects="1" selectLockedCells="1"/>
  <mergeCells count="59">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 ref="H3:I3"/>
    <mergeCell ref="W9:X9"/>
    <mergeCell ref="W6:X8"/>
    <mergeCell ref="W5:X5"/>
    <mergeCell ref="L3:AB3"/>
    <mergeCell ref="AA5:AB5"/>
    <mergeCell ref="Y5:Z5"/>
    <mergeCell ref="J3:K3"/>
    <mergeCell ref="U6:V8"/>
    <mergeCell ref="S9:T9"/>
    <mergeCell ref="S6:T8"/>
    <mergeCell ref="AA6:AB8"/>
    <mergeCell ref="Y6:Z8"/>
    <mergeCell ref="Y17:AB19"/>
    <mergeCell ref="U11:V11"/>
    <mergeCell ref="U12:V14"/>
    <mergeCell ref="AA11:AB11"/>
    <mergeCell ref="Y9:Z9"/>
    <mergeCell ref="AA9:AB9"/>
    <mergeCell ref="Y16:AB16"/>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W23:X23"/>
    <mergeCell ref="W26:X27"/>
    <mergeCell ref="Y26:Z27"/>
    <mergeCell ref="AA26:AB27"/>
    <mergeCell ref="W25:X25"/>
    <mergeCell ref="Y25:Z25"/>
    <mergeCell ref="AA25:AB2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7" r:id="rId4" name="ComboBox1">
          <controlPr locked="0" defaultSize="0" autoLine="0" autoPict="0" linkedCell="Z74" listFillRange="Z68:Z72" r:id="rId5">
            <anchor moveWithCells="1">
              <from>
                <xdr:col>18</xdr:col>
                <xdr:colOff>49530</xdr:colOff>
                <xdr:row>16</xdr:row>
                <xdr:rowOff>38100</xdr:rowOff>
              </from>
              <to>
                <xdr:col>22</xdr:col>
                <xdr:colOff>342900</xdr:colOff>
                <xdr:row>17</xdr:row>
                <xdr:rowOff>152400</xdr:rowOff>
              </to>
            </anchor>
          </controlPr>
        </control>
      </mc:Choice>
      <mc:Fallback>
        <control shapeId="1107" r:id="rId4" name="ComboBox1"/>
      </mc:Fallback>
    </mc:AlternateContent>
    <mc:AlternateContent xmlns:mc="http://schemas.openxmlformats.org/markup-compatibility/2006">
      <mc:Choice Requires="x14">
        <control shapeId="1108" r:id="rId6" name="ComboBox2">
          <controlPr locked="0" defaultSize="0" autoLine="0" autoPict="0" linkedCell="AF81" listFillRange="Z81:Z102" r:id="rId7">
            <anchor moveWithCells="1">
              <from>
                <xdr:col>24</xdr:col>
                <xdr:colOff>209550</xdr:colOff>
                <xdr:row>21</xdr:row>
                <xdr:rowOff>220980</xdr:rowOff>
              </from>
              <to>
                <xdr:col>27</xdr:col>
                <xdr:colOff>316230</xdr:colOff>
                <xdr:row>23</xdr:row>
                <xdr:rowOff>68580</xdr:rowOff>
              </to>
            </anchor>
          </controlPr>
        </control>
      </mc:Choice>
      <mc:Fallback>
        <control shapeId="1108" r:id="rId6" name="ComboBox2"/>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5EE0C1D4-E25D-42D4-8B85-7EEE84D1E6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2022-08-05T14:23:21Z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